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/>
  <mc:AlternateContent xmlns:mc="http://schemas.openxmlformats.org/markup-compatibility/2006">
    <mc:Choice Requires="x15">
      <x15ac:absPath xmlns:x15ac="http://schemas.microsoft.com/office/spreadsheetml/2010/11/ac" url="https://partnershealthcare-my.sharepoint.com/personal/mbillaud_bwh_harvard_edu/Documents/Farhad - Marie/Fatemeh - Luisa - Marie/SMC images (DAPI, phalloidin, TOM20)/MiNA raw files - shared with Farhad/SMCs/"/>
    </mc:Choice>
  </mc:AlternateContent>
  <xr:revisionPtr revIDLastSave="335" documentId="8_{0041A4E9-D317-46DD-A74E-4A78CBB2ADBC}" xr6:coauthVersionLast="47" xr6:coauthVersionMax="47" xr10:uidLastSave="{AC3D215C-DEE1-4B77-BC63-FDE3652EB3E7}"/>
  <bookViews>
    <workbookView minimized="1" xWindow="225" yWindow="0" windowWidth="15240" windowHeight="15540" firstSheet="1" activeTab="1" xr2:uid="{E2B10D52-6C6A-4238-8154-141A18B8903F}"/>
  </bookViews>
  <sheets>
    <sheet name="Sheet1" sheetId="1" r:id="rId1"/>
    <sheet name="specimen information" sheetId="2" r:id="rId2"/>
    <sheet name="mtDNA" sheetId="3" r:id="rId3"/>
    <sheet name="gene expression" sheetId="4" r:id="rId4"/>
  </sheets>
  <externalReferences>
    <externalReference r:id="rId5"/>
  </externalReferences>
  <definedNames>
    <definedName name="STS_data">[1]STS_data!$C$1:$DH$182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6" i="4" l="1"/>
  <c r="B27" i="4"/>
  <c r="B28" i="4"/>
  <c r="B29" i="4"/>
  <c r="B30" i="4"/>
  <c r="B14" i="4"/>
  <c r="B15" i="4"/>
  <c r="B16" i="4"/>
  <c r="B17" i="4"/>
  <c r="B18" i="4"/>
  <c r="B19" i="4"/>
  <c r="B20" i="4"/>
  <c r="B21" i="4"/>
  <c r="B22" i="4"/>
  <c r="B23" i="4"/>
  <c r="B2" i="4"/>
  <c r="B3" i="4"/>
  <c r="B4" i="4"/>
  <c r="B11" i="4"/>
  <c r="B12" i="4"/>
  <c r="B26" i="3"/>
  <c r="B27" i="3"/>
  <c r="B28" i="3"/>
  <c r="B29" i="3"/>
  <c r="B30" i="3"/>
  <c r="B14" i="3"/>
  <c r="B15" i="3"/>
  <c r="B16" i="3"/>
  <c r="B17" i="3"/>
  <c r="B18" i="3"/>
  <c r="B19" i="3"/>
  <c r="B20" i="3"/>
  <c r="B21" i="3"/>
  <c r="B22" i="3"/>
  <c r="B23" i="3"/>
  <c r="B2" i="3"/>
  <c r="B3" i="3"/>
  <c r="B4" i="3"/>
  <c r="B11" i="3"/>
  <c r="B12" i="3"/>
  <c r="B11" i="2"/>
  <c r="B12" i="2"/>
  <c r="B30" i="2"/>
  <c r="B29" i="2"/>
  <c r="B28" i="2"/>
  <c r="B27" i="2"/>
  <c r="B26" i="2"/>
  <c r="B23" i="2"/>
  <c r="B22" i="2"/>
  <c r="B21" i="2"/>
  <c r="B20" i="2"/>
  <c r="B19" i="2"/>
  <c r="B18" i="2"/>
  <c r="B17" i="2"/>
  <c r="B16" i="2"/>
  <c r="B15" i="2"/>
  <c r="B14" i="2"/>
  <c r="B4" i="2"/>
  <c r="B3" i="2"/>
  <c r="B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Billaud, Marie,PhD</author>
    <author>tc={DA969B19-3BAE-412F-B47B-D85D87619AA8}</author>
    <author>tc={527991D0-4950-4827-A8A1-E6B02F9B49F9}</author>
    <author>tc={4CAD7FCC-476F-44B2-AE5E-7EC165A575CE}</author>
    <author>tc={EDCD2D5E-14CD-4464-A6BD-734F14281782}</author>
    <author>tc={C6457993-A231-4424-8AAD-7D8E9B09778B}</author>
    <author>tc={29A55135-3F5E-4EB1-BE0B-D061EC09D6CF}</author>
    <author>tc={9DE35908-55C0-41E0-88C8-F6C503D80BB4}</author>
    <author>tc={51F9505F-6963-4DB7-B377-8AB4E71C8014}</author>
    <author>tc={5FF9C0CC-C848-4AE7-B7C8-2EB5E1AFE95B}</author>
    <author>tc={A0950F67-7D6A-47EA-BC9D-22F56FDCB1A5}</author>
  </authors>
  <commentList>
    <comment ref="T1" authorId="0" shapeId="0" xr:uid="{413E30B3-CEB6-45D8-AD87-9572CE906FE6}">
      <text>
        <r>
          <rPr>
            <sz val="9"/>
            <color indexed="81"/>
            <rFont val="Tahoma"/>
            <family val="2"/>
          </rPr>
          <t>Family History of Premature CAD;
Indicate if the patient has any direct blood relatives (parents, siblings, children) who have had any of the following at age &lt;55 y for male relatives or &lt;65 y for female relatives: Angina; Acute MI; Sudden cardiac death; without obvious cause; CABG surgery; PCI</t>
        </r>
      </text>
    </comment>
    <comment ref="Y1" authorId="0" shapeId="0" xr:uid="{C9C3B892-E259-40C8-8787-A39B5CD2BC46}">
      <text>
        <r>
          <rPr>
            <sz val="9"/>
            <color indexed="81"/>
            <rFont val="Tahoma"/>
            <family val="2"/>
          </rPr>
          <t>Endocarditis</t>
        </r>
      </text>
    </comment>
    <comment ref="AA1" authorId="0" shapeId="0" xr:uid="{2F929A97-B85D-48E5-9058-6A42298C93A1}">
      <text>
        <r>
          <rPr>
            <sz val="9"/>
            <color indexed="81"/>
            <rFont val="Tahoma"/>
            <family val="2"/>
          </rPr>
          <t xml:space="preserve">Sleep apnea
</t>
        </r>
      </text>
    </comment>
    <comment ref="AC1" authorId="0" shapeId="0" xr:uid="{D7D3F576-0FF4-4C2A-BF52-06A0320D942F}">
      <text>
        <r>
          <rPr>
            <sz val="9"/>
            <color indexed="81"/>
            <rFont val="Tahoma"/>
            <family val="2"/>
          </rPr>
          <t>Liver disease</t>
        </r>
      </text>
    </comment>
    <comment ref="AE1" authorId="0" shapeId="0" xr:uid="{A5E2A7D6-AA35-480B-A0DF-05F1C3A89BD0}">
      <text>
        <r>
          <rPr>
            <sz val="9"/>
            <color indexed="81"/>
            <rFont val="Tahoma"/>
            <family val="2"/>
          </rPr>
          <t>Mediastinal Radiation</t>
        </r>
      </text>
    </comment>
    <comment ref="AG1" authorId="0" shapeId="0" xr:uid="{E426B4BA-AFFE-429E-AF12-4219A16869E8}">
      <text>
        <r>
          <rPr>
            <sz val="9"/>
            <color indexed="81"/>
            <rFont val="Tahoma"/>
            <family val="2"/>
          </rPr>
          <t>Peripheral Artery Disease</t>
        </r>
      </text>
    </comment>
    <comment ref="AH1" authorId="0" shapeId="0" xr:uid="{0AD91D86-F824-4C1E-B0DF-18FD69B72DF3}">
      <text>
        <r>
          <rPr>
            <sz val="9"/>
            <color indexed="81"/>
            <rFont val="Tahoma"/>
            <family val="2"/>
          </rPr>
          <t>Cerebrovascular Disease</t>
        </r>
      </text>
    </comment>
    <comment ref="AI1" authorId="0" shapeId="0" xr:uid="{726EB760-D092-45CC-B55F-F886FBF9BDFB}">
      <text>
        <r>
          <rPr>
            <sz val="9"/>
            <color indexed="81"/>
            <rFont val="Tahoma"/>
            <family val="2"/>
          </rPr>
          <t>Prev Cardiac Interventions</t>
        </r>
      </text>
    </comment>
    <comment ref="AJ1" authorId="0" shapeId="0" xr:uid="{E1A96AB7-1AEE-420B-BCDA-B7299BD95340}">
      <text>
        <r>
          <rPr>
            <sz val="9"/>
            <color indexed="81"/>
            <rFont val="Tahoma"/>
            <family val="2"/>
          </rPr>
          <t>Previous coronary artery bypass</t>
        </r>
      </text>
    </comment>
    <comment ref="AL1" authorId="0" shapeId="0" xr:uid="{6A27E21C-AB51-473A-9D3F-AE02C51BCB62}">
      <text>
        <r>
          <rPr>
            <sz val="9"/>
            <color indexed="81"/>
            <rFont val="Tahoma"/>
            <family val="2"/>
          </rPr>
          <t>Previous PCI</t>
        </r>
      </text>
    </comment>
    <comment ref="AM1" authorId="0" shapeId="0" xr:uid="{D7DE30F4-C841-497C-A848-3DC68C81254B}">
      <text>
        <r>
          <rPr>
            <sz val="9"/>
            <color indexed="81"/>
            <rFont val="Tahoma"/>
            <family val="2"/>
          </rPr>
          <t>Prior MI</t>
        </r>
      </text>
    </comment>
    <comment ref="AQ1" authorId="0" shapeId="0" xr:uid="{DAB3B895-155A-4DA4-9B52-2DCCB4ED589E}">
      <text>
        <r>
          <rPr>
            <sz val="9"/>
            <color indexed="81"/>
            <rFont val="Tahoma"/>
            <family val="2"/>
          </rPr>
          <t xml:space="preserve">Patient received Amiodarone prior to surgery (K+ channel blocker for Afib)
</t>
        </r>
      </text>
    </comment>
    <comment ref="AR1" authorId="0" shapeId="0" xr:uid="{580424F9-AD90-4FF9-ADE2-7981D4906EB2}">
      <text>
        <r>
          <rPr>
            <sz val="9"/>
            <color indexed="81"/>
            <rFont val="Tahoma"/>
            <family val="2"/>
          </rPr>
          <t>Beta Blocker Therapy For More Than 2 Weeks Prior To Surgery</t>
        </r>
      </text>
    </comment>
    <comment ref="AS1" authorId="0" shapeId="0" xr:uid="{AC8B6F58-8EB8-4D76-AFE7-5AA8822C186B}">
      <text>
        <r>
          <rPr>
            <sz val="9"/>
            <color indexed="81"/>
            <rFont val="Tahoma"/>
            <family val="2"/>
          </rPr>
          <t xml:space="preserve">Calcium Channel Blocker Therapy For More Than 2 Weeks Prior To
Surgery
</t>
        </r>
      </text>
    </comment>
    <comment ref="AT1" authorId="0" shapeId="0" xr:uid="{150A30E2-5671-404B-8812-A0AC1D210BE8}">
      <text>
        <r>
          <rPr>
            <sz val="9"/>
            <color indexed="81"/>
            <rFont val="Tahoma"/>
            <family val="2"/>
          </rPr>
          <t>Long-Acting Nitrate Therapy For More Than 2 Weeks Prior To
Surgery</t>
        </r>
      </text>
    </comment>
    <comment ref="AV1" authorId="0" shapeId="0" xr:uid="{8A8400EC-2136-4E44-B51C-E1D6902E432C}">
      <text>
        <r>
          <rPr>
            <sz val="9"/>
            <color indexed="81"/>
            <rFont val="Tahoma"/>
            <family val="2"/>
          </rPr>
          <t>evidence of Aortic valve insufficiency/regurgitation prior to surgery</t>
        </r>
      </text>
    </comment>
    <comment ref="AW1" authorId="0" shapeId="0" xr:uid="{FE0BCFAC-BBA4-45D5-A4E7-30C79E0A8D98}">
      <text>
        <r>
          <rPr>
            <sz val="9"/>
            <color indexed="81"/>
            <rFont val="Tahoma"/>
            <family val="2"/>
          </rPr>
          <t>degree of aortic valve insufficiency/regurgitation</t>
        </r>
      </text>
    </comment>
    <comment ref="AX1" authorId="0" shapeId="0" xr:uid="{407DDAE9-7831-4D98-AFE9-7B4EBCCB2475}">
      <text>
        <r>
          <rPr>
            <sz val="9"/>
            <color indexed="81"/>
            <rFont val="Tahoma"/>
            <family val="2"/>
          </rPr>
          <t>Indicate whether Aortic Stenosis is present</t>
        </r>
      </text>
    </comment>
    <comment ref="AY1" authorId="0" shapeId="0" xr:uid="{18727780-D8F4-43B7-BF70-1F351F404D6C}">
      <text>
        <r>
          <rPr>
            <sz val="9"/>
            <color indexed="81"/>
            <rFont val="Tahoma"/>
            <family val="2"/>
          </rPr>
          <t>degree of aortic valve stenosis prior to surgery</t>
        </r>
      </text>
    </comment>
    <comment ref="BA1" authorId="0" shapeId="0" xr:uid="{1A695399-E8F5-4816-8BDA-09015D42390A}">
      <text>
        <r>
          <rPr>
            <sz val="9"/>
            <color indexed="81"/>
            <rFont val="Tahoma"/>
            <family val="2"/>
          </rPr>
          <t>primary etiology of aortic valve disease.</t>
        </r>
      </text>
    </comment>
    <comment ref="BB1" authorId="0" shapeId="0" xr:uid="{839245D4-A449-4F54-A56D-42EE52E94C88}">
      <text>
        <r>
          <rPr>
            <sz val="9"/>
            <color indexed="81"/>
            <rFont val="Tahoma"/>
            <family val="2"/>
          </rPr>
          <t>family history of disease of the aorta</t>
        </r>
      </text>
    </comment>
    <comment ref="BC1" authorId="0" shapeId="0" xr:uid="{7BA039EF-0E64-41DE-917D-4AAD584BEA32}">
      <text>
        <r>
          <rPr>
            <sz val="9"/>
            <color indexed="81"/>
            <rFont val="Tahoma"/>
            <family val="2"/>
          </rPr>
          <t>genetic history of the patient:
1 Marfan
2 Ehlers-Danlos
3 Loeys-Dietz
4 Non-Specific familial thoracic
aortic syndrome
5 Aortic Valve Morphology
6 Turner syndrome
7 Other
9 Unknown
8 None</t>
        </r>
      </text>
    </comment>
    <comment ref="BE1" authorId="0" shapeId="0" xr:uid="{717A764A-E138-4D23-A705-6B61FCEDAB7F}">
      <text>
        <r>
          <rPr>
            <sz val="9"/>
            <color indexed="81"/>
            <rFont val="Tahoma"/>
            <family val="2"/>
          </rPr>
          <t>prior intervention involved the aortic root (Zone 0-A)</t>
        </r>
      </text>
    </comment>
    <comment ref="BF1" authorId="0" shapeId="0" xr:uid="{8C008B8B-8B06-41A6-A5AB-3F4C2144172D}">
      <text>
        <r>
          <rPr>
            <sz val="9"/>
            <color indexed="81"/>
            <rFont val="Tahoma"/>
            <family val="2"/>
          </rPr>
          <t>prior intervention involved the ascending aorta (Zone 0 - B&amp;C)</t>
        </r>
      </text>
    </comment>
    <comment ref="BG1" authorId="0" shapeId="0" xr:uid="{8C09E400-D53F-42F0-8B71-433BFF150B28}">
      <text>
        <r>
          <rPr>
            <sz val="9"/>
            <color indexed="81"/>
            <rFont val="Tahoma"/>
            <family val="2"/>
          </rPr>
          <t>prior intervention involved the aortic arch (Zones 1,2,3)</t>
        </r>
      </text>
    </comment>
    <comment ref="BH1" authorId="0" shapeId="0" xr:uid="{41A44462-4A79-47C9-95B4-0D9A759DFC52}">
      <text>
        <r>
          <rPr>
            <sz val="9"/>
            <color indexed="81"/>
            <rFont val="Tahoma"/>
            <family val="2"/>
          </rPr>
          <t>prior intervention involved the descending aorta (Zones 4,5)</t>
        </r>
      </text>
    </comment>
    <comment ref="BI1" authorId="0" shapeId="0" xr:uid="{8CB03E81-FEA7-458D-BC9A-04A4B711D9B4}">
      <text>
        <r>
          <rPr>
            <sz val="9"/>
            <color indexed="81"/>
            <rFont val="Tahoma"/>
            <family val="2"/>
          </rPr>
          <t>intervention involved the suprarenal abdominal aorta (Zones
6,7)</t>
        </r>
      </text>
    </comment>
    <comment ref="BJ1" authorId="0" shapeId="0" xr:uid="{9B8EE3EB-A4E5-4A2F-A0B0-2AA3371F09E9}">
      <text>
        <r>
          <rPr>
            <sz val="9"/>
            <color indexed="81"/>
            <rFont val="Tahoma"/>
            <family val="2"/>
          </rPr>
          <t>prior intervention involved the infrarenal abdominal aorta (Zones
8,9,10,11)</t>
        </r>
      </text>
    </comment>
    <comment ref="BK1" authorId="0" shapeId="0" xr:uid="{076A24CA-4E2F-45AD-BFF4-FA34C00DFE2B}">
      <text>
        <r>
          <rPr>
            <sz val="9"/>
            <color indexed="81"/>
            <rFont val="Tahoma"/>
            <family val="2"/>
          </rPr>
          <t>Indicate if current procedure is with infection.</t>
        </r>
      </text>
    </comment>
    <comment ref="BO1" authorId="0" shapeId="0" xr:uid="{8AE76795-56F9-46D8-9774-A8DDE03DE6C0}">
      <text>
        <r>
          <rPr>
            <sz val="9"/>
            <color indexed="81"/>
            <rFont val="Tahoma"/>
            <family val="2"/>
          </rPr>
          <t>Indicate the clinical presentation 
1 Pain
2 CHF
3 Cardiac Arrest
4 Syncope
9 Infection
12 Asymptomatic
13 Injury related to surgical
complication
16 Neuro Deficit
14 Other
15 Unknown</t>
        </r>
      </text>
    </comment>
    <comment ref="BR1" authorId="0" shapeId="0" xr:uid="{01BEACFD-F3B9-4238-B036-0E4605892614}">
      <text>
        <r>
          <rPr>
            <sz val="9"/>
            <color indexed="81"/>
            <rFont val="Tahoma"/>
            <family val="2"/>
          </rPr>
          <t>Indicate the aneurysm etiology
1 Atherosclerosis
2 Infection
3 Inflammatory
4 Connective Tissue/Syndromic
Disorder
5 Ulcerative Plaque/Penetrating
Ulcer
6 Pseudoaneurysm
7 Mycotic
8 Traumatic transection
9 Intercostal visceral patch
10 Anastomotic site
12 Aortic Valve Morphology
13 Chronic Dissection
11 Unknown</t>
        </r>
      </text>
    </comment>
    <comment ref="BS1" authorId="0" shapeId="0" xr:uid="{B2629502-3DAB-44F3-93E8-1ADD335A70B9}">
      <text>
        <r>
          <rPr>
            <sz val="9"/>
            <color indexed="81"/>
            <rFont val="Tahoma"/>
            <family val="2"/>
          </rPr>
          <t>Indicate the aneurysm type
1 Fusiform
2 Saccular
3 Unknown</t>
        </r>
      </text>
    </comment>
    <comment ref="BT1" authorId="0" shapeId="0" xr:uid="{BF0EF01D-B685-4875-AB09-27BFA185E09E}">
      <text>
        <r>
          <rPr>
            <sz val="9"/>
            <color indexed="81"/>
            <rFont val="Tahoma"/>
            <family val="2"/>
          </rPr>
          <t>Indicate whether the aneurysm ruptured</t>
        </r>
      </text>
    </comment>
    <comment ref="BV1" authorId="0" shapeId="0" xr:uid="{5E0C1B29-3ED2-4950-A0DC-24EB02921C43}">
      <text>
        <r>
          <rPr>
            <sz val="9"/>
            <color indexed="81"/>
            <rFont val="Tahoma"/>
            <family val="2"/>
          </rPr>
          <t>location of the maximum diameter of the aneurysm.</t>
        </r>
      </text>
    </comment>
    <comment ref="BW1" authorId="0" shapeId="0" xr:uid="{514862A2-25E3-4C05-87A0-AA11F25C196B}">
      <text>
        <r>
          <rPr>
            <sz val="9"/>
            <color indexed="81"/>
            <rFont val="Tahoma"/>
            <family val="2"/>
          </rPr>
          <t>Indicate the timing of the aortic dissection</t>
        </r>
      </text>
    </comment>
    <comment ref="BX1" authorId="0" shapeId="0" xr:uid="{E16EC9C8-C7E0-4EFA-8D0C-60C78B9A0358}">
      <text>
        <r>
          <rPr>
            <sz val="9"/>
            <color indexed="81"/>
            <rFont val="Tahoma"/>
            <family val="2"/>
          </rPr>
          <t>Indicate whether the date of dissection onset is known</t>
        </r>
      </text>
    </comment>
    <comment ref="BY1" authorId="0" shapeId="0" xr:uid="{53511950-7B91-4084-B38A-BE7B5528B165}">
      <text>
        <r>
          <rPr>
            <sz val="9"/>
            <color indexed="81"/>
            <rFont val="Tahoma"/>
            <family val="2"/>
          </rPr>
          <t>Indicate dissection onset date</t>
        </r>
      </text>
    </comment>
    <comment ref="BZ1" authorId="0" shapeId="0" xr:uid="{CDA84F3D-13D7-417B-B409-2F2BE02C188C}">
      <text>
        <r>
          <rPr>
            <sz val="9"/>
            <color indexed="81"/>
            <rFont val="Tahoma"/>
            <family val="2"/>
          </rPr>
          <t>Indicate location of the primary tear</t>
        </r>
      </text>
    </comment>
    <comment ref="CA1" authorId="0" shapeId="0" xr:uid="{F6229802-6FD1-4D29-9BC4-AA7F288D1BC2}">
      <text>
        <r>
          <rPr>
            <sz val="9"/>
            <color indexed="81"/>
            <rFont val="Tahoma"/>
            <family val="2"/>
          </rPr>
          <t>Indicate if proximal (toward heart) dissection extent is known.</t>
        </r>
      </text>
    </comment>
    <comment ref="CB1" authorId="0" shapeId="0" xr:uid="{542051F2-4DF1-44FC-BDB4-1A90819DB270}">
      <text>
        <r>
          <rPr>
            <sz val="9"/>
            <color indexed="81"/>
            <rFont val="Tahoma"/>
            <family val="2"/>
          </rPr>
          <t>Indicate location of most proximal (closest to heart) dissection location.</t>
        </r>
      </text>
    </comment>
    <comment ref="CC1" authorId="0" shapeId="0" xr:uid="{3EC20025-BA9B-4D80-B92A-35876B5AA5F8}">
      <text>
        <r>
          <rPr>
            <sz val="9"/>
            <color indexed="81"/>
            <rFont val="Tahoma"/>
            <family val="2"/>
          </rPr>
          <t>Indicate if distal (away from heart) dissection is known</t>
        </r>
      </text>
    </comment>
    <comment ref="CD1" authorId="0" shapeId="0" xr:uid="{51645CBB-6F67-46F0-B5D0-8F0FB7313C47}">
      <text>
        <r>
          <rPr>
            <sz val="9"/>
            <color indexed="81"/>
            <rFont val="Tahoma"/>
            <family val="2"/>
          </rPr>
          <t>Indicate location of most distal (away from heart) dissection location.</t>
        </r>
      </text>
    </comment>
    <comment ref="CI1" authorId="0" shapeId="0" xr:uid="{7CBF4FCC-1F31-4009-9C15-5263A04644DD}">
      <text>
        <r>
          <rPr>
            <sz val="9"/>
            <color indexed="81"/>
            <rFont val="Tahoma"/>
            <family val="2"/>
          </rPr>
          <t>Indicate the patient's primary indication for Aorta surgery other than Aneurysm or Dissection</t>
        </r>
      </text>
    </comment>
    <comment ref="CJ1" authorId="0" shapeId="0" xr:uid="{177D9F1F-5E78-4E68-8BF4-B701A6A40559}">
      <text>
        <r>
          <rPr>
            <sz val="9"/>
            <color indexed="81"/>
            <rFont val="Tahoma"/>
            <family val="2"/>
          </rPr>
          <t>Indicate whether aorto-annular ectasia is present</t>
        </r>
      </text>
    </comment>
    <comment ref="CK1" authorId="0" shapeId="0" xr:uid="{DD73980C-70A8-4428-996B-F2FA1B58A89A}">
      <text>
        <r>
          <rPr>
            <sz val="9"/>
            <color indexed="81"/>
            <rFont val="Tahoma"/>
            <family val="2"/>
          </rPr>
          <t>Indicate whether asymmetric root dilation is present</t>
        </r>
      </text>
    </comment>
    <comment ref="CM1" authorId="0" shapeId="0" xr:uid="{E059ABDC-2514-4540-9AFC-1CEE0354C82A}">
      <text>
        <r>
          <rPr>
            <sz val="9"/>
            <color indexed="81"/>
            <rFont val="Tahoma"/>
            <family val="2"/>
          </rPr>
          <t>Indicate whether there is a sinus of valsalva aneurysm</t>
        </r>
      </text>
    </comment>
    <comment ref="CN1" authorId="0" shapeId="0" xr:uid="{3B78726A-01BC-4231-BDEF-4ED54344D147}">
      <text>
        <r>
          <rPr>
            <sz val="9"/>
            <color indexed="81"/>
            <rFont val="Tahoma"/>
            <family val="2"/>
          </rPr>
          <t>Indicate locations of sinus of valsalva aneurysm.</t>
        </r>
      </text>
    </comment>
    <comment ref="CO1" authorId="0" shapeId="0" xr:uid="{AF416B66-CAD1-4FAB-8D2A-E0E7E3F077DB}">
      <text>
        <r>
          <rPr>
            <sz val="9"/>
            <color indexed="81"/>
            <rFont val="Tahoma"/>
            <family val="2"/>
          </rPr>
          <t>Indicate whether arch anomalies are present</t>
        </r>
      </text>
    </comment>
    <comment ref="CQ1" authorId="0" shapeId="0" xr:uid="{7D708B12-FF80-4C8A-A034-6B4929E73B90}">
      <text>
        <r>
          <rPr>
            <sz val="9"/>
            <color indexed="81"/>
            <rFont val="Tahoma"/>
            <family val="2"/>
          </rPr>
          <t>Indicate whether there is asymmetric dilatation of the ascending aorta</t>
        </r>
      </text>
    </comment>
    <comment ref="CR1" authorId="0" shapeId="0" xr:uid="{C23C82E9-7ADF-4F5B-83FB-315B8B4164DF}">
      <text>
        <r>
          <rPr>
            <sz val="9"/>
            <color indexed="81"/>
            <rFont val="Tahoma"/>
            <family val="2"/>
          </rPr>
          <t>Indicate the treated zone with the largest diameter.</t>
        </r>
      </text>
    </comment>
    <comment ref="CS1" authorId="0" shapeId="0" xr:uid="{8939BB5E-C46C-4F10-AC05-9C56CE1779F5}">
      <text>
        <r>
          <rPr>
            <sz val="9"/>
            <color indexed="81"/>
            <rFont val="Tahoma"/>
            <family val="2"/>
          </rPr>
          <t>Indicate the size of the largest diameter of the treated zone. Measurement to be recorded in
millimeters (mm).</t>
        </r>
      </text>
    </comment>
    <comment ref="CT1" authorId="0" shapeId="0" xr:uid="{CA3104F5-5EB6-4D86-9689-15A74F7886A7}">
      <text>
        <r>
          <rPr>
            <sz val="9"/>
            <color indexed="81"/>
            <rFont val="Tahoma"/>
            <family val="2"/>
          </rPr>
          <t>Indicate the method used to obtain the recorded size.</t>
        </r>
      </text>
    </comment>
    <comment ref="CU1" authorId="0" shapeId="0" xr:uid="{7B7BF0DA-DA95-4E60-A5B3-5AD8608EAFD2}">
      <text>
        <r>
          <rPr>
            <sz val="9"/>
            <color indexed="81"/>
            <rFont val="Tahoma"/>
            <family val="2"/>
          </rPr>
          <t>Indicate if a measurement is available on the zone proximal (closest to the heart) to treated area.</t>
        </r>
      </text>
    </comment>
    <comment ref="CV1" authorId="0" shapeId="0" xr:uid="{C9C4748A-AAD0-4683-AE80-A95A5CF222BB}">
      <text>
        <r>
          <rPr>
            <sz val="9"/>
            <color indexed="81"/>
            <rFont val="Tahoma"/>
            <family val="2"/>
          </rPr>
          <t>Indicate the zone proximal (closest to the heart) to the treated zone(s).</t>
        </r>
      </text>
    </comment>
    <comment ref="CW1" authorId="0" shapeId="0" xr:uid="{40240BCF-733B-4238-A3F0-56C7525B6B70}">
      <text>
        <r>
          <rPr>
            <sz val="9"/>
            <color indexed="81"/>
            <rFont val="Tahoma"/>
            <family val="2"/>
          </rPr>
          <t>Indicate the largest diameter of the zone proximal (closest to the heart) to the treated zone(s). Measurement to be recorded in millimeters (mm).</t>
        </r>
      </text>
    </comment>
    <comment ref="CX1" authorId="0" shapeId="0" xr:uid="{D0B7F634-10A0-45F1-B13B-07B75D61AD12}">
      <text>
        <r>
          <rPr>
            <sz val="9"/>
            <color indexed="81"/>
            <rFont val="Tahoma"/>
            <family val="2"/>
          </rPr>
          <t>Indicate the method used to obtain the recorded size</t>
        </r>
      </text>
    </comment>
    <comment ref="CY1" authorId="0" shapeId="0" xr:uid="{C4750A2A-D0B1-468C-906E-64A3F7F2B3E7}">
      <text>
        <r>
          <rPr>
            <sz val="9"/>
            <color indexed="81"/>
            <rFont val="Tahoma"/>
            <family val="2"/>
          </rPr>
          <t>Indicate if a measurement is available on the zone distal (further from the heart) to treated area).</t>
        </r>
      </text>
    </comment>
    <comment ref="CZ1" authorId="0" shapeId="0" xr:uid="{35CFF609-5073-489C-8946-A916BBE9D23E}">
      <text>
        <r>
          <rPr>
            <sz val="9"/>
            <color indexed="81"/>
            <rFont val="Tahoma"/>
            <family val="2"/>
          </rPr>
          <t>Indicate the zone distal (furthest from the heart) to the treated zone(s).</t>
        </r>
      </text>
    </comment>
    <comment ref="DA1" authorId="0" shapeId="0" xr:uid="{3E988D6C-8222-48CA-B377-DB0E25611C25}">
      <text>
        <r>
          <rPr>
            <sz val="9"/>
            <color indexed="81"/>
            <rFont val="Tahoma"/>
            <family val="2"/>
          </rPr>
          <t>Indicate the largest diameter of the zone distal (furthest from the heart) to the treated zone(s).
Measurement to be recorded in millimeters (mm).</t>
        </r>
      </text>
    </comment>
    <comment ref="DB1" authorId="0" shapeId="0" xr:uid="{2202E230-B2B2-463B-B622-6AC2255A34B6}">
      <text>
        <r>
          <rPr>
            <sz val="9"/>
            <color indexed="81"/>
            <rFont val="Tahoma"/>
            <family val="2"/>
          </rPr>
          <t>Indicate the method used to obtain the recorded size.</t>
        </r>
      </text>
    </comment>
    <comment ref="DC1" authorId="0" shapeId="0" xr:uid="{8DBFC0DD-B822-4560-A448-D35FDBB68590}">
      <text>
        <r>
          <rPr>
            <sz val="9"/>
            <color indexed="81"/>
            <rFont val="Tahoma"/>
            <family val="2"/>
          </rPr>
          <t>Indicate if a surgical ascending/arch procedure was performed. Endovascular procedures are not
captured here.</t>
        </r>
      </text>
    </comment>
    <comment ref="DD1" authorId="0" shapeId="0" xr:uid="{25A78AFD-41D8-4F4E-B299-46A7D7C7CF50}">
      <text>
        <r>
          <rPr>
            <sz val="9"/>
            <color indexed="81"/>
            <rFont val="Tahoma"/>
            <family val="2"/>
          </rPr>
          <t>Indicate the proximal location (closest to the heart) of the procedure performed on the
ascending/arch. If the procedure originate with the aortic valve choose STJ-Midascending.</t>
        </r>
      </text>
    </comment>
    <comment ref="DE1" authorId="0" shapeId="0" xr:uid="{8933423B-F54E-435D-9F10-01E9888C508E}">
      <text>
        <r>
          <rPr>
            <sz val="9"/>
            <color indexed="81"/>
            <rFont val="Tahoma"/>
            <family val="2"/>
          </rPr>
          <t>Indicate if a surgical procedure of the descending thoracic or thoracoabdominal aorta was performed. Endovascular procedures are not captured here.</t>
        </r>
      </text>
    </comment>
    <comment ref="DF1" authorId="0" shapeId="0" xr:uid="{4210FDE0-EE3E-449A-9985-F9F77052DEC0}">
      <text>
        <r>
          <rPr>
            <sz val="9"/>
            <color indexed="81"/>
            <rFont val="Tahoma"/>
            <family val="2"/>
          </rPr>
          <t>Indicate the proximal location of the descending aorta procedure</t>
        </r>
      </text>
    </comment>
    <comment ref="DG1" authorId="0" shapeId="0" xr:uid="{28728D5D-F3DA-49CB-BD40-B78B39EEB915}">
      <text>
        <r>
          <rPr>
            <sz val="9"/>
            <color indexed="81"/>
            <rFont val="Tahoma"/>
            <family val="2"/>
          </rPr>
          <t>Indicate the distal location of the descending/thoracoabdominal procedure</t>
        </r>
      </text>
    </comment>
    <comment ref="C2" authorId="1" shapeId="0" xr:uid="{DA969B19-3BAE-412F-B47B-D85D87619AA8}">
      <text>
        <t>[Threaded comment]
Your version of Excel allows you to read this threaded comment; however, any edits to it will get removed if the file is opened in a newer version of Excel. Learn more: https://go.microsoft.com/fwlink/?linkid=870924
Comment:
    TAV confirmed in Epic</t>
      </text>
    </comment>
    <comment ref="C3" authorId="2" shapeId="0" xr:uid="{527991D0-4950-4827-A8A1-E6B02F9B49F9}">
      <text>
        <t>[Threaded comment]
Your version of Excel allows you to read this threaded comment; however, any edits to it will get removed if the file is opened in a newer version of Excel. Learn more: https://go.microsoft.com/fwlink/?linkid=870924
Comment:
    TAV confirmed in Epic</t>
      </text>
    </comment>
    <comment ref="C15" authorId="3" shapeId="0" xr:uid="{4CAD7FCC-476F-44B2-AE5E-7EC165A575CE}">
      <text>
        <t>[Threaded comment]
Your version of Excel allows you to read this threaded comment; however, any edits to it will get removed if the file is opened in a newer version of Excel. Learn more: https://go.microsoft.com/fwlink/?linkid=870924
Comment:
    "Porcelaine aorta"</t>
      </text>
    </comment>
    <comment ref="C19" authorId="4" shapeId="0" xr:uid="{EDCD2D5E-14CD-4464-A6BD-734F1428178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Per path report: 
ACTIVE GIANT CELL AORTITIS. Laminar medial necrosis. Moderate intimal proliferation. Adventitial fibrosis and chronic inflammation. No evidence of dissection. 
</t>
      </text>
    </comment>
    <comment ref="BA19" authorId="5" shapeId="0" xr:uid="{C6457993-A231-4424-8AAD-7D8E9B09778B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was previously left blank</t>
      </text>
    </comment>
    <comment ref="BA22" authorId="6" shapeId="0" xr:uid="{29A55135-3F5E-4EB1-BE0B-D061EC09D6CF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was previously left blank</t>
      </text>
    </comment>
    <comment ref="C24" authorId="7" shapeId="0" xr:uid="{9DE35908-55C0-41E0-88C8-F6C503D80BB4}">
      <text>
        <t>[Threaded comment]
Your version of Excel allows you to read this threaded comment; however, any edits to it will get removed if the file is opened in a newer version of Excel. Learn more: https://go.microsoft.com/fwlink/?linkid=870924
Comment:
    Patient has a trileaflet AV, miscategorized</t>
      </text>
    </comment>
    <comment ref="BA24" authorId="8" shapeId="0" xr:uid="{51F9505F-6963-4DB7-B377-8AB4E71C8014}">
      <text>
        <t>[Threaded comment]
Your version of Excel allows you to read this threaded comment; however, any edits to it will get removed if the file is opened in a newer version of Excel. Learn more: https://go.microsoft.com/fwlink/?linkid=870924
Comment:
    Patient has TAV</t>
      </text>
    </comment>
    <comment ref="C28" authorId="9" shapeId="0" xr:uid="{5FF9C0CC-C848-4AE7-B7C8-2EB5E1AFE95B}">
      <text>
        <t>[Threaded comment]
Your version of Excel allows you to read this threaded comment; however, any edits to it will get removed if the file is opened in a newer version of Excel. Learn more: https://go.microsoft.com/fwlink/?linkid=870924
Comment:
    BAV confirmed
s/p BioAVR 2005</t>
      </text>
    </comment>
    <comment ref="BA28" authorId="10" shapeId="0" xr:uid="{A0950F67-7D6A-47EA-BC9D-22F56FDCB1A5}">
      <text>
        <t>[Threaded comment]
Your version of Excel allows you to read this threaded comment; however, any edits to it will get removed if the file is opened in a newer version of Excel. Learn more: https://go.microsoft.com/fwlink/?linkid=870924
Comment:
    Native BAV confirmed in Epic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tc={D4201C2E-0204-4DAC-92A1-CD4544C04A85}</author>
    <author>tc={1DF10AE9-A78B-4EFC-A0CE-8CDDA1C04434}</author>
    <author>tc={AF2B0CBC-8AED-437B-8199-B9C3B7896E2D}</author>
    <author>tc={9CD9D547-FA4E-4EBC-8574-9184D7A4CB29}</author>
    <author>tc={EEE98545-9DCF-4F9D-BD2B-6C259344D79A}</author>
    <author>tc={61E41843-0EDD-443B-84FC-A36D3D9CAC0B}</author>
  </authors>
  <commentList>
    <comment ref="C2" authorId="0" shapeId="0" xr:uid="{D4201C2E-0204-4DAC-92A1-CD4544C04A85}">
      <text>
        <t>[Threaded comment]
Your version of Excel allows you to read this threaded comment; however, any edits to it will get removed if the file is opened in a newer version of Excel. Learn more: https://go.microsoft.com/fwlink/?linkid=870924
Comment:
    TAV confirmed in Epic</t>
      </text>
    </comment>
    <comment ref="C3" authorId="1" shapeId="0" xr:uid="{1DF10AE9-A78B-4EFC-A0CE-8CDDA1C04434}">
      <text>
        <t>[Threaded comment]
Your version of Excel allows you to read this threaded comment; however, any edits to it will get removed if the file is opened in a newer version of Excel. Learn more: https://go.microsoft.com/fwlink/?linkid=870924
Comment:
    TAV confirmed in Epic</t>
      </text>
    </comment>
    <comment ref="C15" authorId="2" shapeId="0" xr:uid="{AF2B0CBC-8AED-437B-8199-B9C3B7896E2D}">
      <text>
        <t>[Threaded comment]
Your version of Excel allows you to read this threaded comment; however, any edits to it will get removed if the file is opened in a newer version of Excel. Learn more: https://go.microsoft.com/fwlink/?linkid=870924
Comment:
    "Porcelaine aorta"</t>
      </text>
    </comment>
    <comment ref="C19" authorId="3" shapeId="0" xr:uid="{9CD9D547-FA4E-4EBC-8574-9184D7A4CB2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Per path report: 
ACTIVE GIANT CELL AORTITIS. Laminar medial necrosis. Moderate intimal proliferation. Adventitial fibrosis and chronic inflammation. No evidence of dissection. 
</t>
      </text>
    </comment>
    <comment ref="C24" authorId="4" shapeId="0" xr:uid="{EEE98545-9DCF-4F9D-BD2B-6C259344D79A}">
      <text>
        <t>[Threaded comment]
Your version of Excel allows you to read this threaded comment; however, any edits to it will get removed if the file is opened in a newer version of Excel. Learn more: https://go.microsoft.com/fwlink/?linkid=870924
Comment:
    Patient has a trileaflet AV, miscategorized</t>
      </text>
    </comment>
    <comment ref="C28" authorId="5" shapeId="0" xr:uid="{61E41843-0EDD-443B-84FC-A36D3D9CAC0B}">
      <text>
        <t>[Threaded comment]
Your version of Excel allows you to read this threaded comment; however, any edits to it will get removed if the file is opened in a newer version of Excel. Learn more: https://go.microsoft.com/fwlink/?linkid=870924
Comment:
    BAV confirmed
s/p BioAVR 2005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tc={7C05C61F-3444-4D92-9FF7-7CA5A60EDC30}</author>
    <author>tc={4CB1B740-526C-49F4-87DF-2BE0ED32CD57}</author>
    <author>tc={CC9B9D01-2460-4F6F-B9A7-2E850A3E669A}</author>
    <author>tc={F7FB7768-D907-4A46-9008-AFAB6B60D2FE}</author>
    <author>tc={E3A5D4BC-2147-4E4C-8D50-0E950714E10B}</author>
    <author>tc={3B1152CE-7E71-44BB-A925-B32B76AC977C}</author>
  </authors>
  <commentList>
    <comment ref="C2" authorId="0" shapeId="0" xr:uid="{7C05C61F-3444-4D92-9FF7-7CA5A60EDC30}">
      <text>
        <t>[Threaded comment]
Your version of Excel allows you to read this threaded comment; however, any edits to it will get removed if the file is opened in a newer version of Excel. Learn more: https://go.microsoft.com/fwlink/?linkid=870924
Comment:
    TAV confirmed in Epic</t>
      </text>
    </comment>
    <comment ref="C3" authorId="1" shapeId="0" xr:uid="{4CB1B740-526C-49F4-87DF-2BE0ED32CD57}">
      <text>
        <t>[Threaded comment]
Your version of Excel allows you to read this threaded comment; however, any edits to it will get removed if the file is opened in a newer version of Excel. Learn more: https://go.microsoft.com/fwlink/?linkid=870924
Comment:
    TAV confirmed in Epic</t>
      </text>
    </comment>
    <comment ref="C15" authorId="2" shapeId="0" xr:uid="{CC9B9D01-2460-4F6F-B9A7-2E850A3E669A}">
      <text>
        <t>[Threaded comment]
Your version of Excel allows you to read this threaded comment; however, any edits to it will get removed if the file is opened in a newer version of Excel. Learn more: https://go.microsoft.com/fwlink/?linkid=870924
Comment:
    "Porcelaine aorta"</t>
      </text>
    </comment>
    <comment ref="C19" authorId="3" shapeId="0" xr:uid="{F7FB7768-D907-4A46-9008-AFAB6B60D2F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Per path report: 
ACTIVE GIANT CELL AORTITIS. Laminar medial necrosis. Moderate intimal proliferation. Adventitial fibrosis and chronic inflammation. No evidence of dissection. 
</t>
      </text>
    </comment>
    <comment ref="C24" authorId="4" shapeId="0" xr:uid="{E3A5D4BC-2147-4E4C-8D50-0E950714E10B}">
      <text>
        <t>[Threaded comment]
Your version of Excel allows you to read this threaded comment; however, any edits to it will get removed if the file is opened in a newer version of Excel. Learn more: https://go.microsoft.com/fwlink/?linkid=870924
Comment:
    Patient has a trileaflet AV, miscategorized</t>
      </text>
    </comment>
    <comment ref="C28" authorId="5" shapeId="0" xr:uid="{3B1152CE-7E71-44BB-A925-B32B76AC977C}">
      <text>
        <t>[Threaded comment]
Your version of Excel allows you to read this threaded comment; however, any edits to it will get removed if the file is opened in a newer version of Excel. Learn more: https://go.microsoft.com/fwlink/?linkid=870924
Comment:
    BAV confirmed
s/p BioAVR 2005</t>
      </text>
    </comment>
  </commentList>
</comments>
</file>

<file path=xl/sharedStrings.xml><?xml version="1.0" encoding="utf-8"?>
<sst xmlns="http://schemas.openxmlformats.org/spreadsheetml/2006/main" count="1908" uniqueCount="256">
  <si>
    <t>Experimental details:</t>
  </si>
  <si>
    <t>2 groups (non-aneurysmal &amp; aneurysmal - see list below)</t>
  </si>
  <si>
    <t>Conditions per group: no collagen &amp; + collagen (SMCs from each patient were grown on plastic (no coll) and on collagen-coated wells (+coll))</t>
  </si>
  <si>
    <t xml:space="preserve">Most conditions (folders) have Z stacks from 5 cells (some have up to 10) </t>
  </si>
  <si>
    <t>Image parameters:</t>
  </si>
  <si>
    <t>Z stacks of the whole cell (consistent step size in Z (370nm) but number of image in a stack may be higher for 'thicker' cells and lower for 'flatter' cells)</t>
  </si>
  <si>
    <t xml:space="preserve">Obj 60x (high resolution) </t>
  </si>
  <si>
    <t>voxel size (nm)</t>
  </si>
  <si>
    <t>X=100-200nm</t>
  </si>
  <si>
    <t>Y=100-200nm</t>
  </si>
  <si>
    <t>Z=370nm</t>
  </si>
  <si>
    <t>3 channels</t>
  </si>
  <si>
    <t>1: DAPI (nucleus)</t>
  </si>
  <si>
    <t>2: Phalloidin (F-actin)</t>
  </si>
  <si>
    <t>3:TOM20 (mitochondrial network)</t>
  </si>
  <si>
    <t>SMC list:</t>
  </si>
  <si>
    <t>Non-aneurysmal</t>
  </si>
  <si>
    <t>Aneurysmal</t>
  </si>
  <si>
    <t>BAV</t>
  </si>
  <si>
    <t>01Asc-180</t>
  </si>
  <si>
    <t>03Asc-24</t>
  </si>
  <si>
    <t>02Asc-0017</t>
  </si>
  <si>
    <t>01Asc-0222</t>
  </si>
  <si>
    <t>03Asc-43</t>
  </si>
  <si>
    <t>02Asc-0021</t>
  </si>
  <si>
    <t>01Asc-0230</t>
  </si>
  <si>
    <t>03Rt-45</t>
  </si>
  <si>
    <t>02Asc-0029</t>
  </si>
  <si>
    <t>01C-83</t>
  </si>
  <si>
    <t>03Asc-46</t>
  </si>
  <si>
    <t>02Asc-0047</t>
  </si>
  <si>
    <t>01C-96</t>
  </si>
  <si>
    <t>03Asc-47</t>
  </si>
  <si>
    <t>02Asc-0049</t>
  </si>
  <si>
    <t>01C-97</t>
  </si>
  <si>
    <t>03Asc-51</t>
  </si>
  <si>
    <t>02Asc-0077</t>
  </si>
  <si>
    <t>01C-0113</t>
  </si>
  <si>
    <t>03Asc-54</t>
  </si>
  <si>
    <t>01C-0117</t>
  </si>
  <si>
    <t>03Asc-55</t>
  </si>
  <si>
    <t>01C-0202</t>
  </si>
  <si>
    <t>03Asc-56</t>
  </si>
  <si>
    <t>01Asc-0231</t>
  </si>
  <si>
    <t>03Asc-57</t>
  </si>
  <si>
    <t>01Asc-0232</t>
  </si>
  <si>
    <t>GROUP</t>
  </si>
  <si>
    <t>Aortic Specimen ID</t>
  </si>
  <si>
    <t>Day of Surgery</t>
  </si>
  <si>
    <t>Procedure Name/ Description</t>
  </si>
  <si>
    <t>bsa</t>
  </si>
  <si>
    <t>age</t>
  </si>
  <si>
    <t>gender</t>
  </si>
  <si>
    <t>racedocumented</t>
  </si>
  <si>
    <t>racecaucasian</t>
  </si>
  <si>
    <t>raceblack</t>
  </si>
  <si>
    <t>raceasian</t>
  </si>
  <si>
    <t>racenativeam</t>
  </si>
  <si>
    <t>racnativepacific</t>
  </si>
  <si>
    <t>raceother</t>
  </si>
  <si>
    <t>ethnicity</t>
  </si>
  <si>
    <t>heightcm</t>
  </si>
  <si>
    <t>weightkg</t>
  </si>
  <si>
    <t>bmi</t>
  </si>
  <si>
    <t>fhcad</t>
  </si>
  <si>
    <t>diabetes</t>
  </si>
  <si>
    <t>diabctrl</t>
  </si>
  <si>
    <t>dialysis</t>
  </si>
  <si>
    <t>hypertn</t>
  </si>
  <si>
    <t>infendo</t>
  </si>
  <si>
    <t>tobaccouse</t>
  </si>
  <si>
    <t>slpapn</t>
  </si>
  <si>
    <t>pneumonia</t>
  </si>
  <si>
    <t>liverdis</t>
  </si>
  <si>
    <t>livercirrhosis</t>
  </si>
  <si>
    <t>mediastrad</t>
  </si>
  <si>
    <t>cancer</t>
  </si>
  <si>
    <t>pvd</t>
  </si>
  <si>
    <t>cvd</t>
  </si>
  <si>
    <t>prcvint</t>
  </si>
  <si>
    <t>prcab</t>
  </si>
  <si>
    <t>prvalve</t>
  </si>
  <si>
    <t>poc</t>
  </si>
  <si>
    <t>prevmi</t>
  </si>
  <si>
    <t>heartfail</t>
  </si>
  <si>
    <t>classnyh</t>
  </si>
  <si>
    <t>arrhythmia</t>
  </si>
  <si>
    <t>medamiodarone</t>
  </si>
  <si>
    <t>medbetather</t>
  </si>
  <si>
    <t>medcchanther</t>
  </si>
  <si>
    <t>medlongactnit</t>
  </si>
  <si>
    <t>medothantiang</t>
  </si>
  <si>
    <t>aorticvalveregurg</t>
  </si>
  <si>
    <t>vdinsufa</t>
  </si>
  <si>
    <t>vdstena</t>
  </si>
  <si>
    <t>avstenosis</t>
  </si>
  <si>
    <t>vdaort</t>
  </si>
  <si>
    <t>vdaoprimet</t>
  </si>
  <si>
    <t>famhistaorta</t>
  </si>
  <si>
    <t>patgenhist</t>
  </si>
  <si>
    <t>prioraorta</t>
  </si>
  <si>
    <t>priorreproot</t>
  </si>
  <si>
    <t>priorrepasc</t>
  </si>
  <si>
    <t>priorreparch</t>
  </si>
  <si>
    <t>priorrepdesc</t>
  </si>
  <si>
    <t>priorrepsupraab</t>
  </si>
  <si>
    <t>priorrepinfraab</t>
  </si>
  <si>
    <t>infection</t>
  </si>
  <si>
    <t>infectype</t>
  </si>
  <si>
    <t>trauma</t>
  </si>
  <si>
    <t>aortictraumaloc</t>
  </si>
  <si>
    <t>presentation</t>
  </si>
  <si>
    <t>aortpresneurodef</t>
  </si>
  <si>
    <t>primindic</t>
  </si>
  <si>
    <t>anetilogy</t>
  </si>
  <si>
    <t>antype</t>
  </si>
  <si>
    <t>anrupt</t>
  </si>
  <si>
    <t>anruptcon</t>
  </si>
  <si>
    <t>anloc</t>
  </si>
  <si>
    <t>distiming</t>
  </si>
  <si>
    <t>disonsetdtknown</t>
  </si>
  <si>
    <t>disonsetdt</t>
  </si>
  <si>
    <t>distearloc</t>
  </si>
  <si>
    <t>disretext</t>
  </si>
  <si>
    <t>disretloc</t>
  </si>
  <si>
    <t>distalext</t>
  </si>
  <si>
    <t>distalextloc</t>
  </si>
  <si>
    <t>stanfordclass</t>
  </si>
  <si>
    <t>dispostevar</t>
  </si>
  <si>
    <t>ptless30posttavr</t>
  </si>
  <si>
    <t>ptless30postothcath</t>
  </si>
  <si>
    <t>primindicother</t>
  </si>
  <si>
    <t>rootaannectasia</t>
  </si>
  <si>
    <t>rootdilaasym</t>
  </si>
  <si>
    <t>roottdilaasym</t>
  </si>
  <si>
    <t>rootsinus</t>
  </si>
  <si>
    <t>rootsinuslocmult</t>
  </si>
  <si>
    <t>archanom</t>
  </si>
  <si>
    <t>archanomty</t>
  </si>
  <si>
    <t>ascasymdil</t>
  </si>
  <si>
    <t>trtznlrgdiam</t>
  </si>
  <si>
    <t>trtznlrgdiammeas</t>
  </si>
  <si>
    <t>trtznlrgdiammeasmeth</t>
  </si>
  <si>
    <t>proxtreatzoneavail</t>
  </si>
  <si>
    <t>proxtreatzoneavailloc</t>
  </si>
  <si>
    <t>proxtreatzoneavailmeas</t>
  </si>
  <si>
    <t>proxtreatzoneavailmeth</t>
  </si>
  <si>
    <t>disttreatzoneavail</t>
  </si>
  <si>
    <t>disttreatzoneavailloc</t>
  </si>
  <si>
    <t>disttreatzoneavailmeas</t>
  </si>
  <si>
    <t>disttreatzoneavailmeth</t>
  </si>
  <si>
    <t>archproc</t>
  </si>
  <si>
    <t>archproxloc</t>
  </si>
  <si>
    <t>descaortaproc</t>
  </si>
  <si>
    <t>descaortaloc</t>
  </si>
  <si>
    <t>aortadiszone</t>
  </si>
  <si>
    <t>TAV-NA</t>
  </si>
  <si>
    <t>01Asc-0180</t>
  </si>
  <si>
    <t>Transplant Rrecipient Heart from a Deceased Donor, placement IABP</t>
  </si>
  <si>
    <t>Male</t>
  </si>
  <si>
    <t>Yes</t>
  </si>
  <si>
    <t>No</t>
  </si>
  <si>
    <t>Former smoker</t>
  </si>
  <si>
    <t>Remote</t>
  </si>
  <si>
    <t>Class IV</t>
  </si>
  <si>
    <t>Yes, on home therapy</t>
  </si>
  <si>
    <t>Trivial/Trace</t>
  </si>
  <si>
    <t>na</t>
  </si>
  <si>
    <t>Transplant recipient heart from deceased donor</t>
  </si>
  <si>
    <t>Other SubQ</t>
  </si>
  <si>
    <t>Never smoker</t>
  </si>
  <si>
    <t>Class II</t>
  </si>
  <si>
    <t>Transplant Recipient Heart from deceased donor</t>
  </si>
  <si>
    <t>Female</t>
  </si>
  <si>
    <t>Unknown</t>
  </si>
  <si>
    <t>Moderate</t>
  </si>
  <si>
    <t>Not documented</t>
  </si>
  <si>
    <t>01C</t>
  </si>
  <si>
    <t>CABG</t>
  </si>
  <si>
    <t>CABG, Left Atrial Mass Resection, ERAS</t>
  </si>
  <si>
    <t>NEDS heart</t>
  </si>
  <si>
    <t>unk</t>
  </si>
  <si>
    <t>likely no</t>
  </si>
  <si>
    <t>TAV-ATAA</t>
  </si>
  <si>
    <t>03Asc-0024</t>
  </si>
  <si>
    <t>Replacement Valve Sparing Root (David procedure), possible BioBentall and Hemi Arch Ascending Aortic Replacement, ERAS</t>
  </si>
  <si>
    <t>Primary Aortic Disease, Hypertensive Aneurysm</t>
  </si>
  <si>
    <t>None</t>
  </si>
  <si>
    <t>Asymptomatic</t>
  </si>
  <si>
    <t>Aneurysm</t>
  </si>
  <si>
    <t>Fusiform</t>
  </si>
  <si>
    <t>STJ-midascending</t>
  </si>
  <si>
    <t>PreOp CT</t>
  </si>
  <si>
    <t>Zone 4</t>
  </si>
  <si>
    <t>03Asc-0043</t>
  </si>
  <si>
    <t>AVR, MVR, TVP, CABG</t>
  </si>
  <si>
    <t>Class I</t>
  </si>
  <si>
    <t>Severe</t>
  </si>
  <si>
    <t>Degenerative- Calcified</t>
  </si>
  <si>
    <t>Other</t>
  </si>
  <si>
    <t>Stenosis/Obstruction</t>
  </si>
  <si>
    <t>03Rt-0045</t>
  </si>
  <si>
    <t>Aortic root replacement, CABG, Myectomy septal, LAAL</t>
  </si>
  <si>
    <t>Not Documented</t>
  </si>
  <si>
    <t>Mild</t>
  </si>
  <si>
    <t>Below STJ</t>
  </si>
  <si>
    <t>3D or 4D Reconstruction</t>
  </si>
  <si>
    <t>Zone 1</t>
  </si>
  <si>
    <t>03Asc-0046</t>
  </si>
  <si>
    <t>CABG, Pos. Asc Aorta Repair, MVP/MVR, MAZE</t>
  </si>
  <si>
    <t>Class III</t>
  </si>
  <si>
    <t>Atherosclerosis</t>
  </si>
  <si>
    <t>Midascending to distal ascending</t>
  </si>
  <si>
    <t>Midascending-distal ascending</t>
  </si>
  <si>
    <t>Zone 2</t>
  </si>
  <si>
    <t>03Asc-0047</t>
  </si>
  <si>
    <t>Repair/Replace Aneurysm Ascending Aorta</t>
  </si>
  <si>
    <t>Primary Aortic Disease, Idiopathic Root dilatation</t>
  </si>
  <si>
    <t>Right</t>
  </si>
  <si>
    <t>Intra Operatively</t>
  </si>
  <si>
    <t>03Asc-0051</t>
  </si>
  <si>
    <t>Repair/replace aneurysm ascending aorta</t>
  </si>
  <si>
    <t>no valve disease</t>
  </si>
  <si>
    <t>Inflammatory</t>
  </si>
  <si>
    <t>03Asc-0054</t>
  </si>
  <si>
    <t>Replacement ascending aortic arch</t>
  </si>
  <si>
    <t>Patient declined to disclose</t>
  </si>
  <si>
    <t>Contraindicated</t>
  </si>
  <si>
    <t>Primary Aortic Disease, Aortic Dissection</t>
  </si>
  <si>
    <t>Intramural Hematoma</t>
  </si>
  <si>
    <t>03Asc-0055</t>
  </si>
  <si>
    <t>Replacement Ascending Aortic Arch, pos hemi-arch, AVR, CABG</t>
  </si>
  <si>
    <t>Primary Aortic Disease, Atherosclerotic Aneurysm</t>
  </si>
  <si>
    <t>03Asc-0056</t>
  </si>
  <si>
    <t>repair/replace aneurysm ascending aorta</t>
  </si>
  <si>
    <t>03Asc-0057</t>
  </si>
  <si>
    <t>03Asc</t>
  </si>
  <si>
    <t>PVR, Ross procedure</t>
  </si>
  <si>
    <t>BAV-ATAA</t>
  </si>
  <si>
    <t>AVR, Repair/Replace aneurysm ascending aorta</t>
  </si>
  <si>
    <t>Bicuspid valve disease</t>
  </si>
  <si>
    <t>Aortic Valve Morphology</t>
  </si>
  <si>
    <t>03Asc-0021</t>
  </si>
  <si>
    <t>Repair/Replace aneurysm ascending aorta, Pos. Aortic Root enlargement</t>
  </si>
  <si>
    <t>Degenerative - Extensive Fenestration</t>
  </si>
  <si>
    <t>Both Aneurysm and Dissection</t>
  </si>
  <si>
    <t>Connective Tissue/Syndromic Disorder</t>
  </si>
  <si>
    <t>Zone 3</t>
  </si>
  <si>
    <t>rev. AVR, repair/replace aneurysm ascending aorta, repair/replace hemi arch ascending aorta</t>
  </si>
  <si>
    <t>Reoperation - Failure of previous AV repair or replacement</t>
  </si>
  <si>
    <t>replacement aortic root, PVR</t>
  </si>
  <si>
    <t>PreOp Echo</t>
  </si>
  <si>
    <t>mtDNA/nDNA ratio</t>
  </si>
  <si>
    <t>SMA</t>
  </si>
  <si>
    <t>cnn1</t>
  </si>
  <si>
    <t>2^Ct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</si>
</sst>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scheme val="minor"/>
    </font>
    <font>
      <sz val="10"/>
      <color rgb="FF000000"/>
      <name val="Aptos"/>
      <family val="2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sz val="9"/>
      <color indexed="81"/>
      <name val="Tahoma"/>
      <family val="2"/>
    </font>
    <font>
      <sz val="11"/>
      <color indexed="8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34">
    <xf numFmtId="0" fontId="0" fillId="0" borderId="0" xfId="0"/>
    <xf numFmtId="0" fontId="1" fillId="0" borderId="0" xfId="0" applyFont="1" applyAlignment="1">
      <alignment horizontal="center" vertical="center"/>
    </xf>
    <xf numFmtId="20" fontId="0" fillId="0" borderId="0" xfId="0" applyNumberFormat="1"/>
    <xf numFmtId="0" fontId="2" fillId="0" borderId="0" xfId="0" applyFont="1"/>
    <xf numFmtId="0" fontId="4" fillId="0" borderId="0" xfId="0" applyFont="1"/>
    <xf numFmtId="2" fontId="4" fillId="0" borderId="0" xfId="0" applyNumberFormat="1" applyFont="1"/>
    <xf numFmtId="0" fontId="1" fillId="0" borderId="1" xfId="0" applyFont="1" applyBorder="1" applyAlignment="1">
      <alignment horizontal="center" vertical="center"/>
    </xf>
    <xf numFmtId="2" fontId="0" fillId="0" borderId="0" xfId="0" applyNumberFormat="1"/>
    <xf numFmtId="0" fontId="6" fillId="0" borderId="0" xfId="1"/>
    <xf numFmtId="2" fontId="6" fillId="0" borderId="0" xfId="1" applyNumberFormat="1"/>
    <xf numFmtId="0" fontId="7" fillId="2" borderId="0" xfId="1" applyFont="1" applyFill="1"/>
    <xf numFmtId="0" fontId="6" fillId="0" borderId="0" xfId="1" applyAlignment="1">
      <alignment horizontal="left"/>
    </xf>
    <xf numFmtId="0" fontId="8" fillId="2" borderId="0" xfId="1" applyFont="1" applyFill="1" applyAlignment="1">
      <alignment horizontal="left" vertical="center" wrapText="1"/>
    </xf>
    <xf numFmtId="0" fontId="1" fillId="3" borderId="0" xfId="0" applyFont="1" applyFill="1" applyAlignment="1">
      <alignment horizontal="center" vertical="center"/>
    </xf>
    <xf numFmtId="0" fontId="0" fillId="3" borderId="0" xfId="0" applyFill="1"/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7" fillId="2" borderId="0" xfId="1" applyFont="1" applyFill="1" applyAlignment="1">
      <alignment horizontal="left"/>
    </xf>
    <xf numFmtId="0" fontId="4" fillId="0" borderId="0" xfId="0" applyFont="1" applyAlignment="1">
      <alignment horizontal="right"/>
    </xf>
    <xf numFmtId="14" fontId="0" fillId="0" borderId="0" xfId="0" applyNumberFormat="1" applyAlignment="1">
      <alignment horizontal="right" vertical="center"/>
    </xf>
    <xf numFmtId="14" fontId="6" fillId="0" borderId="0" xfId="1" applyNumberFormat="1" applyAlignment="1">
      <alignment horizontal="right" vertical="center"/>
    </xf>
    <xf numFmtId="0" fontId="0" fillId="0" borderId="0" xfId="0" applyAlignment="1">
      <alignment horizontal="right"/>
    </xf>
    <xf numFmtId="14" fontId="9" fillId="0" borderId="0" xfId="0" applyNumberFormat="1" applyFont="1" applyAlignment="1">
      <alignment horizontal="right" vertical="center" wrapText="1"/>
    </xf>
    <xf numFmtId="14" fontId="10" fillId="0" borderId="0" xfId="0" applyNumberFormat="1" applyFont="1" applyAlignment="1">
      <alignment horizontal="right" vertical="center"/>
    </xf>
    <xf numFmtId="0" fontId="0" fillId="5" borderId="0" xfId="0" applyFill="1"/>
    <xf numFmtId="0" fontId="0" fillId="5" borderId="0" xfId="0" applyFill="1" applyAlignment="1">
      <alignment horizontal="lef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left" vertical="center" indent="1"/>
    </xf>
    <xf numFmtId="0" fontId="0" fillId="5" borderId="0" xfId="0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4" fillId="4" borderId="0" xfId="1" applyFont="1" applyFill="1" applyAlignment="1">
      <alignment horizontal="center" vertical="center"/>
    </xf>
    <xf numFmtId="0" fontId="11" fillId="0" borderId="0" xfId="0" applyFont="1" applyAlignment="1">
      <alignment horizontal="left"/>
    </xf>
    <xf numFmtId="0" fontId="11" fillId="0" borderId="0" xfId="0" applyFont="1"/>
    <xf numFmtId="0" fontId="11" fillId="0" borderId="0" xfId="0" applyFont="1" applyAlignment="1">
      <alignment horizontal="right"/>
    </xf>
  </cellXfs>
  <cellStyles count="2">
    <cellStyle name="Normal" xfId="0" builtinId="0"/>
    <cellStyle name="Normal 2" xfId="1" xr:uid="{A2864A76-902D-4DFE-AC87-6CD46F187B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artnershealthcare.sharepoint.com/sites/BilaudResearchLab/Shared%20Documents/Cardiac%20Tissue%20Bank/STS%20data/AORTIC%20specimens%20&amp;%20patients%20information.xlsx" TargetMode="External"/><Relationship Id="rId1" Type="http://schemas.openxmlformats.org/officeDocument/2006/relationships/externalLinkPath" Target="https://partnershealthcare.sharepoint.com/sites/BilaudResearchLab/Shared%20Documents/Cardiac%20Tissue%20Bank/STS%20data/AORTIC%20specimens%20&amp;%20patients%20inform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S_data"/>
      <sheetName val="Sheet1"/>
    </sheetNames>
    <sheetDataSet>
      <sheetData sheetId="0"/>
      <sheetData sheetId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Billaud, Marie,PhD" id="{B5C09703-E1CA-430E-825F-235CE7822679}" userId="S::mbillaud@bwh.harvard.edu::57277bf0-ee98-4479-890b-735b38e78f3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2" dT="2025-10-02T16:00:40.17" personId="{B5C09703-E1CA-430E-825F-235CE7822679}" id="{DA969B19-3BAE-412F-B47B-D85D87619AA8}">
    <text>TAV confirmed in Epic</text>
  </threadedComment>
  <threadedComment ref="C3" dT="2025-10-02T16:01:46.47" personId="{B5C09703-E1CA-430E-825F-235CE7822679}" id="{527991D0-4950-4827-A8A1-E6B02F9B49F9}">
    <text>TAV confirmed in Epic</text>
  </threadedComment>
  <threadedComment ref="C15" dT="2023-12-11T22:25:50.62" personId="{B5C09703-E1CA-430E-825F-235CE7822679}" id="{4CAD7FCC-476F-44B2-AE5E-7EC165A575CE}">
    <text>"Porcelaine aorta"</text>
  </threadedComment>
  <threadedComment ref="C19" dT="2025-10-01T17:28:53.59" personId="{B5C09703-E1CA-430E-825F-235CE7822679}" id="{EDCD2D5E-14CD-4464-A6BD-734F14281782}">
    <text xml:space="preserve">Per path report: 
ACTIVE GIANT CELL AORTITIS. Laminar medial necrosis. Moderate intimal proliferation. Adventitial fibrosis and chronic inflammation. No evidence of dissection. 
</text>
  </threadedComment>
  <threadedComment ref="BA19" dT="2025-09-26T18:03:10.06" personId="{B5C09703-E1CA-430E-825F-235CE7822679}" id="{C6457993-A231-4424-8AAD-7D8E9B09778B}">
    <text>This was previously left blank</text>
  </threadedComment>
  <threadedComment ref="BA22" dT="2025-09-26T18:03:10.06" personId="{B5C09703-E1CA-430E-825F-235CE7822679}" id="{29A55135-3F5E-4EB1-BE0B-D061EC09D6CF}">
    <text>This was previously left blank</text>
  </threadedComment>
  <threadedComment ref="C24" dT="2025-10-02T21:35:59.19" personId="{B5C09703-E1CA-430E-825F-235CE7822679}" id="{9DE35908-55C0-41E0-88C8-F6C503D80BB4}">
    <text>Patient has a trileaflet AV, miscategorized</text>
  </threadedComment>
  <threadedComment ref="BA24" dT="2025-10-02T21:40:57.47" personId="{B5C09703-E1CA-430E-825F-235CE7822679}" id="{51F9505F-6963-4DB7-B377-8AB4E71C8014}">
    <text>Patient has TAV</text>
  </threadedComment>
  <threadedComment ref="C28" dT="2025-10-01T21:39:59.56" personId="{B5C09703-E1CA-430E-825F-235CE7822679}" id="{5FF9C0CC-C848-4AE7-B7C8-2EB5E1AFE95B}">
    <text>BAV confirmed
s/p BioAVR 2005</text>
  </threadedComment>
  <threadedComment ref="BA28" dT="2025-10-02T21:23:55.21" personId="{B5C09703-E1CA-430E-825F-235CE7822679}" id="{A0950F67-7D6A-47EA-BC9D-22F56FDCB1A5}">
    <text>Native BAV confirmed in Epic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2" dT="2025-10-02T16:00:40.17" personId="{B5C09703-E1CA-430E-825F-235CE7822679}" id="{D4201C2E-0204-4DAC-92A1-CD4544C04A85}">
    <text>TAV confirmed in Epic</text>
  </threadedComment>
  <threadedComment ref="C3" dT="2025-10-02T16:01:46.47" personId="{B5C09703-E1CA-430E-825F-235CE7822679}" id="{1DF10AE9-A78B-4EFC-A0CE-8CDDA1C04434}">
    <text>TAV confirmed in Epic</text>
  </threadedComment>
  <threadedComment ref="C15" dT="2023-12-11T22:25:50.62" personId="{B5C09703-E1CA-430E-825F-235CE7822679}" id="{AF2B0CBC-8AED-437B-8199-B9C3B7896E2D}">
    <text>"Porcelaine aorta"</text>
  </threadedComment>
  <threadedComment ref="C19" dT="2025-10-01T17:28:53.59" personId="{B5C09703-E1CA-430E-825F-235CE7822679}" id="{9CD9D547-FA4E-4EBC-8574-9184D7A4CB29}">
    <text xml:space="preserve">Per path report: 
ACTIVE GIANT CELL AORTITIS. Laminar medial necrosis. Moderate intimal proliferation. Adventitial fibrosis and chronic inflammation. No evidence of dissection. 
</text>
  </threadedComment>
  <threadedComment ref="C24" dT="2025-10-02T21:35:59.19" personId="{B5C09703-E1CA-430E-825F-235CE7822679}" id="{EEE98545-9DCF-4F9D-BD2B-6C259344D79A}">
    <text>Patient has a trileaflet AV, miscategorized</text>
  </threadedComment>
  <threadedComment ref="C28" dT="2025-10-01T21:39:59.56" personId="{B5C09703-E1CA-430E-825F-235CE7822679}" id="{61E41843-0EDD-443B-84FC-A36D3D9CAC0B}">
    <text>BAV confirmed
s/p BioAVR 2005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C2" dT="2025-10-02T16:00:40.17" personId="{B5C09703-E1CA-430E-825F-235CE7822679}" id="{7C05C61F-3444-4D92-9FF7-7CA5A60EDC30}">
    <text>TAV confirmed in Epic</text>
  </threadedComment>
  <threadedComment ref="C3" dT="2025-10-02T16:01:46.47" personId="{B5C09703-E1CA-430E-825F-235CE7822679}" id="{4CB1B740-526C-49F4-87DF-2BE0ED32CD57}">
    <text>TAV confirmed in Epic</text>
  </threadedComment>
  <threadedComment ref="C15" dT="2023-12-11T22:25:50.62" personId="{B5C09703-E1CA-430E-825F-235CE7822679}" id="{CC9B9D01-2460-4F6F-B9A7-2E850A3E669A}">
    <text>"Porcelaine aorta"</text>
  </threadedComment>
  <threadedComment ref="C19" dT="2025-10-01T17:28:53.59" personId="{B5C09703-E1CA-430E-825F-235CE7822679}" id="{F7FB7768-D907-4A46-9008-AFAB6B60D2FE}">
    <text xml:space="preserve">Per path report: 
ACTIVE GIANT CELL AORTITIS. Laminar medial necrosis. Moderate intimal proliferation. Adventitial fibrosis and chronic inflammation. No evidence of dissection. 
</text>
  </threadedComment>
  <threadedComment ref="C24" dT="2025-10-02T21:35:59.19" personId="{B5C09703-E1CA-430E-825F-235CE7822679}" id="{E3A5D4BC-2147-4E4C-8D50-0E950714E10B}">
    <text>Patient has a trileaflet AV, miscategorized</text>
  </threadedComment>
  <threadedComment ref="C28" dT="2025-10-01T21:39:59.56" personId="{B5C09703-E1CA-430E-825F-235CE7822679}" id="{3B1152CE-7E71-44BB-A925-B32B76AC977C}">
    <text>BAV confirmed
s/p BioAVR 2005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05BE8-3AF1-4EC7-A0DD-3B142869D050}">
  <dimension ref="A1:D30"/>
  <sheetViews>
    <sheetView zoomScale="80" zoomScaleNormal="80" workbookViewId="0">
      <selection activeCell="F28" sqref="F28"/>
    </sheetView>
  </sheetViews>
  <sheetFormatPr defaultRowHeight="15"/>
  <cols>
    <col min="1" max="1" width="15.7109375" customWidth="1"/>
    <col min="2" max="2" width="12" customWidth="1"/>
    <col min="3" max="3" width="11.42578125" customWidth="1"/>
  </cols>
  <sheetData>
    <row r="1" spans="1:4">
      <c r="A1" s="3" t="s">
        <v>0</v>
      </c>
    </row>
    <row r="2" spans="1:4">
      <c r="A2" t="s">
        <v>1</v>
      </c>
    </row>
    <row r="3" spans="1:4">
      <c r="A3" t="s">
        <v>2</v>
      </c>
    </row>
    <row r="4" spans="1:4">
      <c r="A4" t="s">
        <v>3</v>
      </c>
    </row>
    <row r="6" spans="1:4">
      <c r="A6" s="3" t="s">
        <v>4</v>
      </c>
    </row>
    <row r="7" spans="1:4">
      <c r="A7" t="s">
        <v>5</v>
      </c>
    </row>
    <row r="8" spans="1:4">
      <c r="A8" t="s">
        <v>6</v>
      </c>
    </row>
    <row r="9" spans="1:4">
      <c r="A9" t="s">
        <v>7</v>
      </c>
      <c r="B9" t="s">
        <v>8</v>
      </c>
    </row>
    <row r="10" spans="1:4">
      <c r="B10" t="s">
        <v>9</v>
      </c>
    </row>
    <row r="11" spans="1:4">
      <c r="B11" t="s">
        <v>10</v>
      </c>
      <c r="D11" s="2"/>
    </row>
    <row r="12" spans="1:4">
      <c r="D12" s="2"/>
    </row>
    <row r="13" spans="1:4">
      <c r="A13" t="s">
        <v>11</v>
      </c>
      <c r="B13" t="s">
        <v>12</v>
      </c>
      <c r="D13" s="2"/>
    </row>
    <row r="14" spans="1:4">
      <c r="B14" t="s">
        <v>13</v>
      </c>
      <c r="D14" s="2"/>
    </row>
    <row r="15" spans="1:4">
      <c r="B15" s="2" t="s">
        <v>14</v>
      </c>
      <c r="D15" s="2"/>
    </row>
    <row r="16" spans="1:4">
      <c r="D16" s="2"/>
    </row>
    <row r="18" spans="1:3">
      <c r="A18" s="3" t="s">
        <v>15</v>
      </c>
    </row>
    <row r="19" spans="1:3">
      <c r="A19" t="s">
        <v>16</v>
      </c>
      <c r="B19" t="s">
        <v>17</v>
      </c>
      <c r="C19" t="s">
        <v>18</v>
      </c>
    </row>
    <row r="20" spans="1:3">
      <c r="A20" s="13" t="s">
        <v>19</v>
      </c>
      <c r="B20" s="14" t="s">
        <v>20</v>
      </c>
      <c r="C20" s="14" t="s">
        <v>21</v>
      </c>
    </row>
    <row r="21" spans="1:3">
      <c r="A21" s="13" t="s">
        <v>22</v>
      </c>
      <c r="B21" s="14" t="s">
        <v>23</v>
      </c>
      <c r="C21" s="14" t="s">
        <v>24</v>
      </c>
    </row>
    <row r="22" spans="1:3">
      <c r="A22" s="13" t="s">
        <v>25</v>
      </c>
      <c r="B22" s="14" t="s">
        <v>26</v>
      </c>
      <c r="C22" s="14" t="s">
        <v>27</v>
      </c>
    </row>
    <row r="23" spans="1:3">
      <c r="A23" s="1" t="s">
        <v>28</v>
      </c>
      <c r="B23" s="14" t="s">
        <v>29</v>
      </c>
      <c r="C23" s="14" t="s">
        <v>30</v>
      </c>
    </row>
    <row r="24" spans="1:3">
      <c r="A24" s="1" t="s">
        <v>31</v>
      </c>
      <c r="B24" s="14" t="s">
        <v>32</v>
      </c>
      <c r="C24" s="14" t="s">
        <v>33</v>
      </c>
    </row>
    <row r="25" spans="1:3">
      <c r="A25" s="1" t="s">
        <v>34</v>
      </c>
      <c r="B25" s="14" t="s">
        <v>35</v>
      </c>
      <c r="C25" t="s">
        <v>36</v>
      </c>
    </row>
    <row r="26" spans="1:3">
      <c r="A26" s="1" t="s">
        <v>37</v>
      </c>
      <c r="B26" s="14" t="s">
        <v>38</v>
      </c>
    </row>
    <row r="27" spans="1:3">
      <c r="A27" s="1" t="s">
        <v>39</v>
      </c>
      <c r="B27" s="14" t="s">
        <v>40</v>
      </c>
    </row>
    <row r="28" spans="1:3">
      <c r="A28" s="6" t="s">
        <v>41</v>
      </c>
      <c r="B28" s="14" t="s">
        <v>42</v>
      </c>
    </row>
    <row r="29" spans="1:3">
      <c r="A29" s="1" t="s">
        <v>43</v>
      </c>
      <c r="B29" s="14" t="s">
        <v>44</v>
      </c>
    </row>
    <row r="30" spans="1:3">
      <c r="A30" s="1" t="s">
        <v>45</v>
      </c>
    </row>
  </sheetData>
  <phoneticPr fontId="3" type="noConversion"/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A4200-317A-45E9-B82A-CF6C277D1BE2}">
  <dimension ref="A1:DG30"/>
  <sheetViews>
    <sheetView tabSelected="1" zoomScale="90" zoomScaleNormal="90" workbookViewId="0">
      <selection activeCell="B5" sqref="B5:H5"/>
    </sheetView>
  </sheetViews>
  <sheetFormatPr defaultRowHeight="15"/>
  <cols>
    <col min="1" max="1" width="10.7109375" customWidth="1"/>
    <col min="2" max="2" width="10.5703125" style="16" bestFit="1" customWidth="1"/>
    <col min="3" max="3" width="16.5703125" customWidth="1"/>
    <col min="4" max="4" width="12.7109375" style="21" customWidth="1"/>
    <col min="5" max="5" width="17.42578125" customWidth="1"/>
    <col min="9" max="9" width="21.140625" customWidth="1"/>
    <col min="10" max="10" width="14.42578125" customWidth="1"/>
  </cols>
  <sheetData>
    <row r="1" spans="1:111" s="4" customFormat="1">
      <c r="B1" s="15" t="s">
        <v>46</v>
      </c>
      <c r="C1" s="4" t="s">
        <v>47</v>
      </c>
      <c r="D1" s="18" t="s">
        <v>48</v>
      </c>
      <c r="E1" s="4" t="s">
        <v>49</v>
      </c>
      <c r="F1" s="5" t="s">
        <v>50</v>
      </c>
      <c r="G1" s="4" t="s">
        <v>51</v>
      </c>
      <c r="H1" s="4" t="s">
        <v>52</v>
      </c>
      <c r="I1" s="4" t="s">
        <v>53</v>
      </c>
      <c r="J1" s="4" t="s">
        <v>54</v>
      </c>
      <c r="K1" s="4" t="s">
        <v>55</v>
      </c>
      <c r="L1" s="4" t="s">
        <v>56</v>
      </c>
      <c r="M1" s="4" t="s">
        <v>57</v>
      </c>
      <c r="N1" s="4" t="s">
        <v>58</v>
      </c>
      <c r="O1" s="4" t="s">
        <v>59</v>
      </c>
      <c r="P1" s="4" t="s">
        <v>60</v>
      </c>
      <c r="Q1" s="4" t="s">
        <v>61</v>
      </c>
      <c r="R1" s="4" t="s">
        <v>62</v>
      </c>
      <c r="S1" s="5" t="s">
        <v>63</v>
      </c>
      <c r="T1" s="4" t="s">
        <v>64</v>
      </c>
      <c r="U1" s="4" t="s">
        <v>65</v>
      </c>
      <c r="V1" s="4" t="s">
        <v>66</v>
      </c>
      <c r="W1" s="4" t="s">
        <v>67</v>
      </c>
      <c r="X1" s="4" t="s">
        <v>68</v>
      </c>
      <c r="Y1" s="4" t="s">
        <v>69</v>
      </c>
      <c r="Z1" s="4" t="s">
        <v>70</v>
      </c>
      <c r="AA1" s="4" t="s">
        <v>71</v>
      </c>
      <c r="AB1" s="4" t="s">
        <v>72</v>
      </c>
      <c r="AC1" s="4" t="s">
        <v>73</v>
      </c>
      <c r="AD1" s="4" t="s">
        <v>74</v>
      </c>
      <c r="AE1" s="4" t="s">
        <v>75</v>
      </c>
      <c r="AF1" s="4" t="s">
        <v>76</v>
      </c>
      <c r="AG1" s="4" t="s">
        <v>77</v>
      </c>
      <c r="AH1" s="4" t="s">
        <v>78</v>
      </c>
      <c r="AI1" s="4" t="s">
        <v>79</v>
      </c>
      <c r="AJ1" s="4" t="s">
        <v>80</v>
      </c>
      <c r="AK1" s="4" t="s">
        <v>81</v>
      </c>
      <c r="AL1" s="4" t="s">
        <v>82</v>
      </c>
      <c r="AM1" s="4" t="s">
        <v>83</v>
      </c>
      <c r="AN1" s="4" t="s">
        <v>84</v>
      </c>
      <c r="AO1" s="4" t="s">
        <v>85</v>
      </c>
      <c r="AP1" s="4" t="s">
        <v>86</v>
      </c>
      <c r="AQ1" s="4" t="s">
        <v>87</v>
      </c>
      <c r="AR1" s="4" t="s">
        <v>88</v>
      </c>
      <c r="AS1" s="4" t="s">
        <v>89</v>
      </c>
      <c r="AT1" s="4" t="s">
        <v>90</v>
      </c>
      <c r="AU1" s="4" t="s">
        <v>91</v>
      </c>
      <c r="AV1" s="4" t="s">
        <v>92</v>
      </c>
      <c r="AW1" s="4" t="s">
        <v>93</v>
      </c>
      <c r="AX1" s="4" t="s">
        <v>94</v>
      </c>
      <c r="AY1" s="4" t="s">
        <v>95</v>
      </c>
      <c r="AZ1" s="4" t="s">
        <v>96</v>
      </c>
      <c r="BA1" s="4" t="s">
        <v>97</v>
      </c>
      <c r="BB1" s="4" t="s">
        <v>98</v>
      </c>
      <c r="BC1" s="4" t="s">
        <v>99</v>
      </c>
      <c r="BD1" s="4" t="s">
        <v>100</v>
      </c>
      <c r="BE1" s="4" t="s">
        <v>101</v>
      </c>
      <c r="BF1" s="4" t="s">
        <v>102</v>
      </c>
      <c r="BG1" s="4" t="s">
        <v>103</v>
      </c>
      <c r="BH1" s="4" t="s">
        <v>104</v>
      </c>
      <c r="BI1" s="4" t="s">
        <v>105</v>
      </c>
      <c r="BJ1" s="4" t="s">
        <v>106</v>
      </c>
      <c r="BK1" s="4" t="s">
        <v>107</v>
      </c>
      <c r="BL1" s="4" t="s">
        <v>108</v>
      </c>
      <c r="BM1" s="4" t="s">
        <v>109</v>
      </c>
      <c r="BN1" s="4" t="s">
        <v>110</v>
      </c>
      <c r="BO1" s="4" t="s">
        <v>111</v>
      </c>
      <c r="BP1" s="4" t="s">
        <v>112</v>
      </c>
      <c r="BQ1" s="4" t="s">
        <v>113</v>
      </c>
      <c r="BR1" s="4" t="s">
        <v>114</v>
      </c>
      <c r="BS1" s="4" t="s">
        <v>115</v>
      </c>
      <c r="BT1" s="4" t="s">
        <v>116</v>
      </c>
      <c r="BU1" s="4" t="s">
        <v>117</v>
      </c>
      <c r="BV1" s="4" t="s">
        <v>118</v>
      </c>
      <c r="BW1" s="4" t="s">
        <v>119</v>
      </c>
      <c r="BX1" s="4" t="s">
        <v>120</v>
      </c>
      <c r="BY1" s="4" t="s">
        <v>121</v>
      </c>
      <c r="BZ1" s="4" t="s">
        <v>122</v>
      </c>
      <c r="CA1" s="4" t="s">
        <v>123</v>
      </c>
      <c r="CB1" s="4" t="s">
        <v>124</v>
      </c>
      <c r="CC1" s="4" t="s">
        <v>125</v>
      </c>
      <c r="CD1" s="4" t="s">
        <v>126</v>
      </c>
      <c r="CE1" s="4" t="s">
        <v>127</v>
      </c>
      <c r="CF1" s="4" t="s">
        <v>128</v>
      </c>
      <c r="CG1" s="4" t="s">
        <v>129</v>
      </c>
      <c r="CH1" s="4" t="s">
        <v>130</v>
      </c>
      <c r="CI1" s="4" t="s">
        <v>131</v>
      </c>
      <c r="CJ1" s="4" t="s">
        <v>132</v>
      </c>
      <c r="CK1" s="4" t="s">
        <v>133</v>
      </c>
      <c r="CL1" s="4" t="s">
        <v>134</v>
      </c>
      <c r="CM1" s="4" t="s">
        <v>135</v>
      </c>
      <c r="CN1" s="4" t="s">
        <v>136</v>
      </c>
      <c r="CO1" s="4" t="s">
        <v>137</v>
      </c>
      <c r="CP1" s="4" t="s">
        <v>138</v>
      </c>
      <c r="CQ1" s="4" t="s">
        <v>139</v>
      </c>
      <c r="CR1" s="4" t="s">
        <v>140</v>
      </c>
      <c r="CS1" s="4" t="s">
        <v>141</v>
      </c>
      <c r="CT1" s="4" t="s">
        <v>142</v>
      </c>
      <c r="CU1" s="4" t="s">
        <v>143</v>
      </c>
      <c r="CV1" s="4" t="s">
        <v>144</v>
      </c>
      <c r="CW1" s="4" t="s">
        <v>145</v>
      </c>
      <c r="CX1" s="4" t="s">
        <v>146</v>
      </c>
      <c r="CY1" s="4" t="s">
        <v>147</v>
      </c>
      <c r="CZ1" s="4" t="s">
        <v>148</v>
      </c>
      <c r="DA1" s="4" t="s">
        <v>149</v>
      </c>
      <c r="DB1" s="4" t="s">
        <v>150</v>
      </c>
      <c r="DC1" s="4" t="s">
        <v>151</v>
      </c>
      <c r="DD1" s="4" t="s">
        <v>152</v>
      </c>
      <c r="DE1" s="4" t="s">
        <v>153</v>
      </c>
      <c r="DF1" s="4" t="s">
        <v>154</v>
      </c>
      <c r="DG1" s="4" t="s">
        <v>155</v>
      </c>
    </row>
    <row r="2" spans="1:111">
      <c r="A2" s="29" t="s">
        <v>156</v>
      </c>
      <c r="B2" s="16" t="str">
        <f t="shared" ref="B2" si="0">LEFT(C2,FIND("-",C2)-1)</f>
        <v>01Asc</v>
      </c>
      <c r="C2" t="s">
        <v>157</v>
      </c>
      <c r="D2" s="19">
        <v>44960</v>
      </c>
      <c r="E2" t="s">
        <v>158</v>
      </c>
      <c r="F2" s="7">
        <v>2.4693318934480999</v>
      </c>
      <c r="G2">
        <v>62</v>
      </c>
      <c r="H2" t="s">
        <v>159</v>
      </c>
      <c r="I2" t="s">
        <v>160</v>
      </c>
      <c r="J2" t="s">
        <v>160</v>
      </c>
      <c r="P2" t="s">
        <v>161</v>
      </c>
      <c r="Q2">
        <v>185.4</v>
      </c>
      <c r="R2">
        <v>118.4</v>
      </c>
      <c r="S2" s="7">
        <v>34.445480000000003</v>
      </c>
      <c r="T2" t="s">
        <v>161</v>
      </c>
      <c r="U2" t="s">
        <v>161</v>
      </c>
      <c r="W2" t="s">
        <v>161</v>
      </c>
      <c r="X2" t="s">
        <v>160</v>
      </c>
      <c r="Y2" t="s">
        <v>161</v>
      </c>
      <c r="Z2" t="s">
        <v>162</v>
      </c>
      <c r="AA2" t="s">
        <v>160</v>
      </c>
      <c r="AB2" t="s">
        <v>163</v>
      </c>
      <c r="AC2" t="s">
        <v>161</v>
      </c>
      <c r="AD2" t="s">
        <v>161</v>
      </c>
      <c r="AE2" t="s">
        <v>161</v>
      </c>
      <c r="AF2" t="s">
        <v>161</v>
      </c>
      <c r="AG2" t="s">
        <v>161</v>
      </c>
      <c r="AH2" t="s">
        <v>161</v>
      </c>
      <c r="AI2" t="s">
        <v>160</v>
      </c>
      <c r="AJ2" t="s">
        <v>161</v>
      </c>
      <c r="AK2" t="s">
        <v>161</v>
      </c>
      <c r="AL2" t="s">
        <v>160</v>
      </c>
      <c r="AM2" t="s">
        <v>161</v>
      </c>
      <c r="AN2" t="s">
        <v>160</v>
      </c>
      <c r="AO2" t="s">
        <v>164</v>
      </c>
      <c r="AP2" t="s">
        <v>160</v>
      </c>
      <c r="AQ2" t="s">
        <v>165</v>
      </c>
      <c r="AR2" t="s">
        <v>160</v>
      </c>
      <c r="AS2" t="s">
        <v>161</v>
      </c>
      <c r="AT2" t="s">
        <v>161</v>
      </c>
      <c r="AU2" t="s">
        <v>161</v>
      </c>
      <c r="AV2" t="s">
        <v>160</v>
      </c>
      <c r="AW2" t="s">
        <v>166</v>
      </c>
      <c r="AX2" t="s">
        <v>161</v>
      </c>
      <c r="AZ2" t="s">
        <v>161</v>
      </c>
      <c r="BO2" t="s">
        <v>167</v>
      </c>
      <c r="BP2" t="s">
        <v>167</v>
      </c>
      <c r="BQ2" t="s">
        <v>167</v>
      </c>
      <c r="BR2" t="s">
        <v>167</v>
      </c>
      <c r="BS2" t="s">
        <v>167</v>
      </c>
      <c r="BT2" t="s">
        <v>167</v>
      </c>
      <c r="BU2" t="s">
        <v>167</v>
      </c>
      <c r="BV2" t="s">
        <v>167</v>
      </c>
      <c r="BW2" t="s">
        <v>167</v>
      </c>
      <c r="BX2" t="s">
        <v>167</v>
      </c>
      <c r="BY2" t="s">
        <v>167</v>
      </c>
      <c r="BZ2" t="s">
        <v>167</v>
      </c>
      <c r="CA2" t="s">
        <v>167</v>
      </c>
      <c r="CB2" t="s">
        <v>167</v>
      </c>
      <c r="CC2" t="s">
        <v>167</v>
      </c>
      <c r="CD2" t="s">
        <v>167</v>
      </c>
      <c r="CE2" t="s">
        <v>167</v>
      </c>
      <c r="CF2" t="s">
        <v>167</v>
      </c>
      <c r="CG2" t="s">
        <v>167</v>
      </c>
      <c r="CH2" t="s">
        <v>167</v>
      </c>
      <c r="CI2" t="s">
        <v>167</v>
      </c>
      <c r="CJ2" t="s">
        <v>167</v>
      </c>
      <c r="CK2" t="s">
        <v>167</v>
      </c>
      <c r="CL2" t="s">
        <v>167</v>
      </c>
      <c r="CM2" t="s">
        <v>167</v>
      </c>
      <c r="CN2" t="s">
        <v>167</v>
      </c>
      <c r="CO2" t="s">
        <v>167</v>
      </c>
      <c r="CP2" t="s">
        <v>167</v>
      </c>
      <c r="CQ2" t="s">
        <v>167</v>
      </c>
      <c r="CR2" t="s">
        <v>167</v>
      </c>
      <c r="CS2" t="s">
        <v>167</v>
      </c>
      <c r="CT2" t="s">
        <v>167</v>
      </c>
      <c r="CU2" t="s">
        <v>167</v>
      </c>
      <c r="CV2" t="s">
        <v>167</v>
      </c>
      <c r="CW2" t="s">
        <v>167</v>
      </c>
      <c r="CX2" t="s">
        <v>167</v>
      </c>
      <c r="CY2" t="s">
        <v>167</v>
      </c>
      <c r="CZ2" t="s">
        <v>167</v>
      </c>
      <c r="DA2" t="s">
        <v>167</v>
      </c>
      <c r="DB2" t="s">
        <v>167</v>
      </c>
      <c r="DC2" t="s">
        <v>167</v>
      </c>
      <c r="DD2" t="s">
        <v>167</v>
      </c>
      <c r="DE2" t="s">
        <v>167</v>
      </c>
      <c r="DF2" t="s">
        <v>167</v>
      </c>
      <c r="DG2" t="s">
        <v>167</v>
      </c>
    </row>
    <row r="3" spans="1:111" s="8" customFormat="1">
      <c r="A3" s="29"/>
      <c r="B3" s="11" t="str">
        <f>LEFT(C3,FIND("-",C3)-1)</f>
        <v>01Asc</v>
      </c>
      <c r="C3" s="8" t="s">
        <v>22</v>
      </c>
      <c r="D3" s="20">
        <v>45183</v>
      </c>
      <c r="E3" s="8" t="s">
        <v>168</v>
      </c>
      <c r="F3" s="9">
        <v>2.1216437547859499</v>
      </c>
      <c r="G3" s="8">
        <v>66</v>
      </c>
      <c r="H3" s="8" t="s">
        <v>159</v>
      </c>
      <c r="I3" s="8" t="s">
        <v>160</v>
      </c>
      <c r="J3" s="8" t="s">
        <v>160</v>
      </c>
      <c r="P3" s="8" t="s">
        <v>161</v>
      </c>
      <c r="Q3" s="8">
        <v>182.9</v>
      </c>
      <c r="R3" s="8">
        <v>88.6</v>
      </c>
      <c r="S3" s="9">
        <v>26.485379999999999</v>
      </c>
      <c r="T3" s="8" t="s">
        <v>160</v>
      </c>
      <c r="U3" s="8" t="s">
        <v>160</v>
      </c>
      <c r="V3" s="8" t="s">
        <v>169</v>
      </c>
      <c r="W3" s="8" t="s">
        <v>161</v>
      </c>
      <c r="X3" s="8" t="s">
        <v>160</v>
      </c>
      <c r="Y3" s="8" t="s">
        <v>161</v>
      </c>
      <c r="Z3" s="8" t="s">
        <v>170</v>
      </c>
      <c r="AA3" s="8" t="s">
        <v>160</v>
      </c>
      <c r="AB3" s="8" t="s">
        <v>161</v>
      </c>
      <c r="AC3" s="8" t="s">
        <v>161</v>
      </c>
      <c r="AD3" s="8" t="s">
        <v>161</v>
      </c>
      <c r="AE3" s="8" t="s">
        <v>161</v>
      </c>
      <c r="AF3" s="8" t="s">
        <v>161</v>
      </c>
      <c r="AG3" s="8" t="s">
        <v>161</v>
      </c>
      <c r="AH3" s="8" t="s">
        <v>161</v>
      </c>
      <c r="AI3" s="8" t="s">
        <v>160</v>
      </c>
      <c r="AJ3" s="8" t="s">
        <v>161</v>
      </c>
      <c r="AK3" s="8" t="s">
        <v>161</v>
      </c>
      <c r="AL3" s="8" t="s">
        <v>160</v>
      </c>
      <c r="AM3" s="8" t="s">
        <v>161</v>
      </c>
      <c r="AN3" s="8" t="s">
        <v>160</v>
      </c>
      <c r="AO3" s="8" t="s">
        <v>171</v>
      </c>
      <c r="AP3" s="8" t="s">
        <v>160</v>
      </c>
      <c r="AQ3" s="8" t="s">
        <v>165</v>
      </c>
      <c r="AR3" s="8" t="s">
        <v>160</v>
      </c>
      <c r="AS3" s="8" t="s">
        <v>161</v>
      </c>
      <c r="AT3" s="8" t="s">
        <v>161</v>
      </c>
      <c r="AU3" s="8" t="s">
        <v>160</v>
      </c>
      <c r="AV3" s="8" t="s">
        <v>161</v>
      </c>
      <c r="AX3" s="8" t="s">
        <v>161</v>
      </c>
      <c r="AZ3" s="8" t="s">
        <v>161</v>
      </c>
      <c r="BO3" t="s">
        <v>167</v>
      </c>
      <c r="BP3" t="s">
        <v>167</v>
      </c>
      <c r="BQ3" t="s">
        <v>167</v>
      </c>
      <c r="BR3" t="s">
        <v>167</v>
      </c>
      <c r="BS3" t="s">
        <v>167</v>
      </c>
      <c r="BT3" t="s">
        <v>167</v>
      </c>
      <c r="BU3" t="s">
        <v>167</v>
      </c>
      <c r="BV3" t="s">
        <v>167</v>
      </c>
      <c r="BW3" t="s">
        <v>167</v>
      </c>
      <c r="BX3" t="s">
        <v>167</v>
      </c>
      <c r="BY3" t="s">
        <v>167</v>
      </c>
      <c r="BZ3" t="s">
        <v>167</v>
      </c>
      <c r="CA3" t="s">
        <v>167</v>
      </c>
      <c r="CB3" t="s">
        <v>167</v>
      </c>
      <c r="CC3" t="s">
        <v>167</v>
      </c>
      <c r="CD3" t="s">
        <v>167</v>
      </c>
      <c r="CE3" t="s">
        <v>167</v>
      </c>
      <c r="CF3" t="s">
        <v>167</v>
      </c>
      <c r="CG3" t="s">
        <v>167</v>
      </c>
      <c r="CH3" t="s">
        <v>167</v>
      </c>
      <c r="CI3" t="s">
        <v>167</v>
      </c>
      <c r="CJ3" t="s">
        <v>167</v>
      </c>
      <c r="CK3" t="s">
        <v>167</v>
      </c>
      <c r="CL3" t="s">
        <v>167</v>
      </c>
      <c r="CM3" t="s">
        <v>167</v>
      </c>
      <c r="CN3" t="s">
        <v>167</v>
      </c>
      <c r="CO3" t="s">
        <v>167</v>
      </c>
      <c r="CP3" t="s">
        <v>167</v>
      </c>
      <c r="CQ3" t="s">
        <v>167</v>
      </c>
      <c r="CR3" t="s">
        <v>167</v>
      </c>
      <c r="CS3" t="s">
        <v>167</v>
      </c>
      <c r="CT3" t="s">
        <v>167</v>
      </c>
      <c r="CU3" t="s">
        <v>167</v>
      </c>
      <c r="CV3" t="s">
        <v>167</v>
      </c>
      <c r="CW3" t="s">
        <v>167</v>
      </c>
      <c r="CX3" t="s">
        <v>167</v>
      </c>
      <c r="CY3" t="s">
        <v>167</v>
      </c>
      <c r="CZ3" t="s">
        <v>167</v>
      </c>
      <c r="DA3" t="s">
        <v>167</v>
      </c>
      <c r="DB3" t="s">
        <v>167</v>
      </c>
      <c r="DC3" t="s">
        <v>167</v>
      </c>
      <c r="DD3" t="s">
        <v>167</v>
      </c>
      <c r="DE3" t="s">
        <v>167</v>
      </c>
      <c r="DF3" t="s">
        <v>167</v>
      </c>
      <c r="DG3" t="s">
        <v>167</v>
      </c>
    </row>
    <row r="4" spans="1:111" s="8" customFormat="1">
      <c r="A4" s="29"/>
      <c r="B4" s="11" t="str">
        <f>LEFT(C4,FIND("-",C4)-1)</f>
        <v>01Asc</v>
      </c>
      <c r="C4" s="8" t="s">
        <v>25</v>
      </c>
      <c r="D4" s="20">
        <v>45378</v>
      </c>
      <c r="E4" s="8" t="s">
        <v>172</v>
      </c>
      <c r="F4" s="9">
        <v>2.0835746526902601</v>
      </c>
      <c r="G4" s="8">
        <v>63</v>
      </c>
      <c r="H4" s="8" t="s">
        <v>173</v>
      </c>
      <c r="I4" s="8" t="s">
        <v>160</v>
      </c>
      <c r="J4" s="8" t="s">
        <v>160</v>
      </c>
      <c r="P4" s="8" t="s">
        <v>161</v>
      </c>
      <c r="Q4" s="8">
        <v>177.8</v>
      </c>
      <c r="R4" s="8">
        <v>87.9</v>
      </c>
      <c r="S4" s="9">
        <v>27.805150000000001</v>
      </c>
      <c r="T4" s="8" t="s">
        <v>161</v>
      </c>
      <c r="U4" s="8" t="s">
        <v>161</v>
      </c>
      <c r="W4" s="8" t="s">
        <v>161</v>
      </c>
      <c r="X4" s="8" t="s">
        <v>161</v>
      </c>
      <c r="Y4" s="8" t="s">
        <v>161</v>
      </c>
      <c r="Z4" s="8" t="s">
        <v>170</v>
      </c>
      <c r="AA4" s="8" t="s">
        <v>161</v>
      </c>
      <c r="AB4" s="8" t="s">
        <v>161</v>
      </c>
      <c r="AC4" s="8" t="s">
        <v>161</v>
      </c>
      <c r="AD4" s="8" t="s">
        <v>161</v>
      </c>
      <c r="AE4" s="8" t="s">
        <v>161</v>
      </c>
      <c r="AF4" s="8" t="s">
        <v>161</v>
      </c>
      <c r="AG4" s="8" t="s">
        <v>161</v>
      </c>
      <c r="AH4" s="8" t="s">
        <v>174</v>
      </c>
      <c r="AI4" s="8" t="s">
        <v>160</v>
      </c>
      <c r="AJ4" s="8" t="s">
        <v>161</v>
      </c>
      <c r="AK4" s="8" t="s">
        <v>161</v>
      </c>
      <c r="AL4" s="8" t="s">
        <v>160</v>
      </c>
      <c r="AM4" s="8" t="s">
        <v>161</v>
      </c>
      <c r="AN4" s="8" t="s">
        <v>160</v>
      </c>
      <c r="AO4" s="8" t="s">
        <v>164</v>
      </c>
      <c r="AP4" s="8" t="s">
        <v>160</v>
      </c>
      <c r="AQ4" s="8" t="s">
        <v>165</v>
      </c>
      <c r="AR4" s="8" t="s">
        <v>161</v>
      </c>
      <c r="AS4" s="8" t="s">
        <v>161</v>
      </c>
      <c r="AT4" s="8" t="s">
        <v>161</v>
      </c>
      <c r="AU4" s="8" t="s">
        <v>161</v>
      </c>
      <c r="AV4" s="8" t="s">
        <v>160</v>
      </c>
      <c r="AW4" s="8" t="s">
        <v>175</v>
      </c>
      <c r="AX4" s="8" t="s">
        <v>161</v>
      </c>
      <c r="AZ4" s="8" t="s">
        <v>160</v>
      </c>
      <c r="BA4" s="8" t="s">
        <v>176</v>
      </c>
      <c r="BO4" t="s">
        <v>167</v>
      </c>
      <c r="BP4" t="s">
        <v>167</v>
      </c>
      <c r="BQ4" t="s">
        <v>167</v>
      </c>
      <c r="BR4" t="s">
        <v>167</v>
      </c>
      <c r="BS4" t="s">
        <v>167</v>
      </c>
      <c r="BT4" t="s">
        <v>167</v>
      </c>
      <c r="BU4" t="s">
        <v>167</v>
      </c>
      <c r="BV4" t="s">
        <v>167</v>
      </c>
      <c r="BW4" t="s">
        <v>167</v>
      </c>
      <c r="BX4" t="s">
        <v>167</v>
      </c>
      <c r="BY4" t="s">
        <v>167</v>
      </c>
      <c r="BZ4" t="s">
        <v>167</v>
      </c>
      <c r="CA4" t="s">
        <v>167</v>
      </c>
      <c r="CB4" t="s">
        <v>167</v>
      </c>
      <c r="CC4" t="s">
        <v>167</v>
      </c>
      <c r="CD4" t="s">
        <v>167</v>
      </c>
      <c r="CE4" t="s">
        <v>167</v>
      </c>
      <c r="CF4" t="s">
        <v>167</v>
      </c>
      <c r="CG4" t="s">
        <v>167</v>
      </c>
      <c r="CH4" t="s">
        <v>167</v>
      </c>
      <c r="CI4" t="s">
        <v>167</v>
      </c>
      <c r="CJ4" t="s">
        <v>167</v>
      </c>
      <c r="CK4" t="s">
        <v>167</v>
      </c>
      <c r="CL4" t="s">
        <v>167</v>
      </c>
      <c r="CM4" t="s">
        <v>167</v>
      </c>
      <c r="CN4" t="s">
        <v>167</v>
      </c>
      <c r="CO4" t="s">
        <v>167</v>
      </c>
      <c r="CP4" t="s">
        <v>167</v>
      </c>
      <c r="CQ4" t="s">
        <v>167</v>
      </c>
      <c r="CR4" t="s">
        <v>167</v>
      </c>
      <c r="CS4" t="s">
        <v>167</v>
      </c>
      <c r="CT4" t="s">
        <v>167</v>
      </c>
      <c r="CU4" t="s">
        <v>167</v>
      </c>
      <c r="CV4" t="s">
        <v>167</v>
      </c>
      <c r="CW4" t="s">
        <v>167</v>
      </c>
      <c r="CX4" t="s">
        <v>167</v>
      </c>
      <c r="CY4" t="s">
        <v>167</v>
      </c>
      <c r="CZ4" t="s">
        <v>167</v>
      </c>
      <c r="DA4" t="s">
        <v>167</v>
      </c>
      <c r="DB4" t="s">
        <v>167</v>
      </c>
      <c r="DC4" t="s">
        <v>167</v>
      </c>
      <c r="DD4" t="s">
        <v>167</v>
      </c>
      <c r="DE4" t="s">
        <v>167</v>
      </c>
      <c r="DF4" t="s">
        <v>167</v>
      </c>
      <c r="DG4" t="s">
        <v>167</v>
      </c>
    </row>
    <row r="5" spans="1:111">
      <c r="A5" s="29"/>
      <c r="B5" s="31" t="s">
        <v>177</v>
      </c>
      <c r="C5" s="32" t="s">
        <v>28</v>
      </c>
      <c r="D5" s="33"/>
      <c r="E5" s="32"/>
      <c r="F5" s="32"/>
      <c r="G5" s="32"/>
      <c r="H5" s="32"/>
      <c r="BO5" t="s">
        <v>167</v>
      </c>
      <c r="BP5" t="s">
        <v>167</v>
      </c>
      <c r="BQ5" t="s">
        <v>167</v>
      </c>
      <c r="BR5" t="s">
        <v>167</v>
      </c>
      <c r="BS5" t="s">
        <v>167</v>
      </c>
      <c r="BT5" t="s">
        <v>167</v>
      </c>
      <c r="BU5" t="s">
        <v>167</v>
      </c>
      <c r="BV5" t="s">
        <v>167</v>
      </c>
      <c r="BW5" t="s">
        <v>167</v>
      </c>
      <c r="BX5" t="s">
        <v>167</v>
      </c>
      <c r="BY5" t="s">
        <v>167</v>
      </c>
      <c r="BZ5" t="s">
        <v>167</v>
      </c>
      <c r="CA5" t="s">
        <v>167</v>
      </c>
      <c r="CB5" t="s">
        <v>167</v>
      </c>
      <c r="CC5" t="s">
        <v>167</v>
      </c>
      <c r="CD5" t="s">
        <v>167</v>
      </c>
      <c r="CE5" t="s">
        <v>167</v>
      </c>
      <c r="CF5" t="s">
        <v>167</v>
      </c>
      <c r="CG5" t="s">
        <v>167</v>
      </c>
      <c r="CH5" t="s">
        <v>167</v>
      </c>
      <c r="CI5" t="s">
        <v>167</v>
      </c>
      <c r="CJ5" t="s">
        <v>167</v>
      </c>
      <c r="CK5" t="s">
        <v>167</v>
      </c>
      <c r="CL5" t="s">
        <v>167</v>
      </c>
      <c r="CM5" t="s">
        <v>167</v>
      </c>
      <c r="CN5" t="s">
        <v>167</v>
      </c>
      <c r="CO5" t="s">
        <v>167</v>
      </c>
      <c r="CP5" t="s">
        <v>167</v>
      </c>
      <c r="CQ5" t="s">
        <v>167</v>
      </c>
      <c r="CR5" t="s">
        <v>167</v>
      </c>
      <c r="CS5" t="s">
        <v>167</v>
      </c>
      <c r="CT5" t="s">
        <v>167</v>
      </c>
      <c r="CU5" t="s">
        <v>167</v>
      </c>
      <c r="CV5" t="s">
        <v>167</v>
      </c>
      <c r="CW5" t="s">
        <v>167</v>
      </c>
      <c r="CX5" t="s">
        <v>167</v>
      </c>
      <c r="CY5" t="s">
        <v>167</v>
      </c>
      <c r="CZ5" t="s">
        <v>167</v>
      </c>
      <c r="DA5" t="s">
        <v>167</v>
      </c>
      <c r="DB5" t="s">
        <v>167</v>
      </c>
      <c r="DC5" t="s">
        <v>167</v>
      </c>
      <c r="DD5" t="s">
        <v>167</v>
      </c>
      <c r="DE5" t="s">
        <v>167</v>
      </c>
      <c r="DF5" t="s">
        <v>167</v>
      </c>
      <c r="DG5" t="s">
        <v>167</v>
      </c>
    </row>
    <row r="6" spans="1:111">
      <c r="A6" s="29"/>
      <c r="B6" s="16" t="s">
        <v>177</v>
      </c>
      <c r="C6" t="s">
        <v>31</v>
      </c>
      <c r="D6" s="19">
        <v>44735</v>
      </c>
      <c r="E6" t="s">
        <v>178</v>
      </c>
      <c r="G6">
        <v>53</v>
      </c>
      <c r="H6" t="s">
        <v>159</v>
      </c>
      <c r="BO6" t="s">
        <v>167</v>
      </c>
      <c r="BP6" t="s">
        <v>167</v>
      </c>
      <c r="BQ6" t="s">
        <v>167</v>
      </c>
      <c r="BR6" t="s">
        <v>167</v>
      </c>
      <c r="BS6" t="s">
        <v>167</v>
      </c>
      <c r="BT6" t="s">
        <v>167</v>
      </c>
      <c r="BU6" t="s">
        <v>167</v>
      </c>
      <c r="BV6" t="s">
        <v>167</v>
      </c>
      <c r="BW6" t="s">
        <v>167</v>
      </c>
      <c r="BX6" t="s">
        <v>167</v>
      </c>
      <c r="BY6" t="s">
        <v>167</v>
      </c>
      <c r="BZ6" t="s">
        <v>167</v>
      </c>
      <c r="CA6" t="s">
        <v>167</v>
      </c>
      <c r="CB6" t="s">
        <v>167</v>
      </c>
      <c r="CC6" t="s">
        <v>167</v>
      </c>
      <c r="CD6" t="s">
        <v>167</v>
      </c>
      <c r="CE6" t="s">
        <v>167</v>
      </c>
      <c r="CF6" t="s">
        <v>167</v>
      </c>
      <c r="CG6" t="s">
        <v>167</v>
      </c>
      <c r="CH6" t="s">
        <v>167</v>
      </c>
      <c r="CI6" t="s">
        <v>167</v>
      </c>
      <c r="CJ6" t="s">
        <v>167</v>
      </c>
      <c r="CK6" t="s">
        <v>167</v>
      </c>
      <c r="CL6" t="s">
        <v>167</v>
      </c>
      <c r="CM6" t="s">
        <v>167</v>
      </c>
      <c r="CN6" t="s">
        <v>167</v>
      </c>
      <c r="CO6" t="s">
        <v>167</v>
      </c>
      <c r="CP6" t="s">
        <v>167</v>
      </c>
      <c r="CQ6" t="s">
        <v>167</v>
      </c>
      <c r="CR6" t="s">
        <v>167</v>
      </c>
      <c r="CS6" t="s">
        <v>167</v>
      </c>
      <c r="CT6" t="s">
        <v>167</v>
      </c>
      <c r="CU6" t="s">
        <v>167</v>
      </c>
      <c r="CV6" t="s">
        <v>167</v>
      </c>
      <c r="CW6" t="s">
        <v>167</v>
      </c>
      <c r="CX6" t="s">
        <v>167</v>
      </c>
      <c r="CY6" t="s">
        <v>167</v>
      </c>
      <c r="CZ6" t="s">
        <v>167</v>
      </c>
      <c r="DA6" t="s">
        <v>167</v>
      </c>
      <c r="DB6" t="s">
        <v>167</v>
      </c>
      <c r="DC6" t="s">
        <v>167</v>
      </c>
      <c r="DD6" t="s">
        <v>167</v>
      </c>
      <c r="DE6" t="s">
        <v>167</v>
      </c>
      <c r="DF6" t="s">
        <v>167</v>
      </c>
      <c r="DG6" t="s">
        <v>167</v>
      </c>
    </row>
    <row r="7" spans="1:111">
      <c r="A7" s="29"/>
      <c r="B7" s="16" t="s">
        <v>177</v>
      </c>
      <c r="C7" t="s">
        <v>34</v>
      </c>
      <c r="D7" s="19">
        <v>44736</v>
      </c>
      <c r="E7" t="s">
        <v>178</v>
      </c>
      <c r="G7">
        <v>57</v>
      </c>
      <c r="H7" s="8" t="s">
        <v>173</v>
      </c>
      <c r="BO7" t="s">
        <v>167</v>
      </c>
      <c r="BP7" t="s">
        <v>167</v>
      </c>
      <c r="BQ7" t="s">
        <v>167</v>
      </c>
      <c r="BR7" t="s">
        <v>167</v>
      </c>
      <c r="BS7" t="s">
        <v>167</v>
      </c>
      <c r="BT7" t="s">
        <v>167</v>
      </c>
      <c r="BU7" t="s">
        <v>167</v>
      </c>
      <c r="BV7" t="s">
        <v>167</v>
      </c>
      <c r="BW7" t="s">
        <v>167</v>
      </c>
      <c r="BX7" t="s">
        <v>167</v>
      </c>
      <c r="BY7" t="s">
        <v>167</v>
      </c>
      <c r="BZ7" t="s">
        <v>167</v>
      </c>
      <c r="CA7" t="s">
        <v>167</v>
      </c>
      <c r="CB7" t="s">
        <v>167</v>
      </c>
      <c r="CC7" t="s">
        <v>167</v>
      </c>
      <c r="CD7" t="s">
        <v>167</v>
      </c>
      <c r="CE7" t="s">
        <v>167</v>
      </c>
      <c r="CF7" t="s">
        <v>167</v>
      </c>
      <c r="CG7" t="s">
        <v>167</v>
      </c>
      <c r="CH7" t="s">
        <v>167</v>
      </c>
      <c r="CI7" t="s">
        <v>167</v>
      </c>
      <c r="CJ7" t="s">
        <v>167</v>
      </c>
      <c r="CK7" t="s">
        <v>167</v>
      </c>
      <c r="CL7" t="s">
        <v>167</v>
      </c>
      <c r="CM7" t="s">
        <v>167</v>
      </c>
      <c r="CN7" t="s">
        <v>167</v>
      </c>
      <c r="CO7" t="s">
        <v>167</v>
      </c>
      <c r="CP7" t="s">
        <v>167</v>
      </c>
      <c r="CQ7" t="s">
        <v>167</v>
      </c>
      <c r="CR7" t="s">
        <v>167</v>
      </c>
      <c r="CS7" t="s">
        <v>167</v>
      </c>
      <c r="CT7" t="s">
        <v>167</v>
      </c>
      <c r="CU7" t="s">
        <v>167</v>
      </c>
      <c r="CV7" t="s">
        <v>167</v>
      </c>
      <c r="CW7" t="s">
        <v>167</v>
      </c>
      <c r="CX7" t="s">
        <v>167</v>
      </c>
      <c r="CY7" t="s">
        <v>167</v>
      </c>
      <c r="CZ7" t="s">
        <v>167</v>
      </c>
      <c r="DA7" t="s">
        <v>167</v>
      </c>
      <c r="DB7" t="s">
        <v>167</v>
      </c>
      <c r="DC7" t="s">
        <v>167</v>
      </c>
      <c r="DD7" t="s">
        <v>167</v>
      </c>
      <c r="DE7" t="s">
        <v>167</v>
      </c>
      <c r="DF7" t="s">
        <v>167</v>
      </c>
      <c r="DG7" t="s">
        <v>167</v>
      </c>
    </row>
    <row r="8" spans="1:111">
      <c r="A8" s="29"/>
      <c r="B8" s="16" t="s">
        <v>177</v>
      </c>
      <c r="C8" t="s">
        <v>37</v>
      </c>
      <c r="D8" s="19">
        <v>44775</v>
      </c>
      <c r="E8" t="s">
        <v>178</v>
      </c>
      <c r="G8">
        <v>64</v>
      </c>
      <c r="H8" s="8" t="s">
        <v>173</v>
      </c>
      <c r="BO8" t="s">
        <v>167</v>
      </c>
      <c r="BP8" t="s">
        <v>167</v>
      </c>
      <c r="BQ8" t="s">
        <v>167</v>
      </c>
      <c r="BR8" t="s">
        <v>167</v>
      </c>
      <c r="BS8" t="s">
        <v>167</v>
      </c>
      <c r="BT8" t="s">
        <v>167</v>
      </c>
      <c r="BU8" t="s">
        <v>167</v>
      </c>
      <c r="BV8" t="s">
        <v>167</v>
      </c>
      <c r="BW8" t="s">
        <v>167</v>
      </c>
      <c r="BX8" t="s">
        <v>167</v>
      </c>
      <c r="BY8" t="s">
        <v>167</v>
      </c>
      <c r="BZ8" t="s">
        <v>167</v>
      </c>
      <c r="CA8" t="s">
        <v>167</v>
      </c>
      <c r="CB8" t="s">
        <v>167</v>
      </c>
      <c r="CC8" t="s">
        <v>167</v>
      </c>
      <c r="CD8" t="s">
        <v>167</v>
      </c>
      <c r="CE8" t="s">
        <v>167</v>
      </c>
      <c r="CF8" t="s">
        <v>167</v>
      </c>
      <c r="CG8" t="s">
        <v>167</v>
      </c>
      <c r="CH8" t="s">
        <v>167</v>
      </c>
      <c r="CI8" t="s">
        <v>167</v>
      </c>
      <c r="CJ8" t="s">
        <v>167</v>
      </c>
      <c r="CK8" t="s">
        <v>167</v>
      </c>
      <c r="CL8" t="s">
        <v>167</v>
      </c>
      <c r="CM8" t="s">
        <v>167</v>
      </c>
      <c r="CN8" t="s">
        <v>167</v>
      </c>
      <c r="CO8" t="s">
        <v>167</v>
      </c>
      <c r="CP8" t="s">
        <v>167</v>
      </c>
      <c r="CQ8" t="s">
        <v>167</v>
      </c>
      <c r="CR8" t="s">
        <v>167</v>
      </c>
      <c r="CS8" t="s">
        <v>167</v>
      </c>
      <c r="CT8" t="s">
        <v>167</v>
      </c>
      <c r="CU8" t="s">
        <v>167</v>
      </c>
      <c r="CV8" t="s">
        <v>167</v>
      </c>
      <c r="CW8" t="s">
        <v>167</v>
      </c>
      <c r="CX8" t="s">
        <v>167</v>
      </c>
      <c r="CY8" t="s">
        <v>167</v>
      </c>
      <c r="CZ8" t="s">
        <v>167</v>
      </c>
      <c r="DA8" t="s">
        <v>167</v>
      </c>
      <c r="DB8" t="s">
        <v>167</v>
      </c>
      <c r="DC8" t="s">
        <v>167</v>
      </c>
      <c r="DD8" t="s">
        <v>167</v>
      </c>
      <c r="DE8" t="s">
        <v>167</v>
      </c>
      <c r="DF8" t="s">
        <v>167</v>
      </c>
      <c r="DG8" t="s">
        <v>167</v>
      </c>
    </row>
    <row r="9" spans="1:111">
      <c r="A9" s="29"/>
      <c r="B9" s="16" t="s">
        <v>177</v>
      </c>
      <c r="C9" t="s">
        <v>39</v>
      </c>
      <c r="D9" s="19">
        <v>44788</v>
      </c>
      <c r="E9" t="s">
        <v>178</v>
      </c>
      <c r="G9">
        <v>46</v>
      </c>
      <c r="H9" s="8" t="s">
        <v>173</v>
      </c>
      <c r="BO9" t="s">
        <v>167</v>
      </c>
      <c r="BP9" t="s">
        <v>167</v>
      </c>
      <c r="BQ9" t="s">
        <v>167</v>
      </c>
      <c r="BR9" t="s">
        <v>167</v>
      </c>
      <c r="BS9" t="s">
        <v>167</v>
      </c>
      <c r="BT9" t="s">
        <v>167</v>
      </c>
      <c r="BU9" t="s">
        <v>167</v>
      </c>
      <c r="BV9" t="s">
        <v>167</v>
      </c>
      <c r="BW9" t="s">
        <v>167</v>
      </c>
      <c r="BX9" t="s">
        <v>167</v>
      </c>
      <c r="BY9" t="s">
        <v>167</v>
      </c>
      <c r="BZ9" t="s">
        <v>167</v>
      </c>
      <c r="CA9" t="s">
        <v>167</v>
      </c>
      <c r="CB9" t="s">
        <v>167</v>
      </c>
      <c r="CC9" t="s">
        <v>167</v>
      </c>
      <c r="CD9" t="s">
        <v>167</v>
      </c>
      <c r="CE9" t="s">
        <v>167</v>
      </c>
      <c r="CF9" t="s">
        <v>167</v>
      </c>
      <c r="CG9" t="s">
        <v>167</v>
      </c>
      <c r="CH9" t="s">
        <v>167</v>
      </c>
      <c r="CI9" t="s">
        <v>167</v>
      </c>
      <c r="CJ9" t="s">
        <v>167</v>
      </c>
      <c r="CK9" t="s">
        <v>167</v>
      </c>
      <c r="CL9" t="s">
        <v>167</v>
      </c>
      <c r="CM9" t="s">
        <v>167</v>
      </c>
      <c r="CN9" t="s">
        <v>167</v>
      </c>
      <c r="CO9" t="s">
        <v>167</v>
      </c>
      <c r="CP9" t="s">
        <v>167</v>
      </c>
      <c r="CQ9" t="s">
        <v>167</v>
      </c>
      <c r="CR9" t="s">
        <v>167</v>
      </c>
      <c r="CS9" t="s">
        <v>167</v>
      </c>
      <c r="CT9" t="s">
        <v>167</v>
      </c>
      <c r="CU9" t="s">
        <v>167</v>
      </c>
      <c r="CV9" t="s">
        <v>167</v>
      </c>
      <c r="CW9" t="s">
        <v>167</v>
      </c>
      <c r="CX9" t="s">
        <v>167</v>
      </c>
      <c r="CY9" t="s">
        <v>167</v>
      </c>
      <c r="CZ9" t="s">
        <v>167</v>
      </c>
      <c r="DA9" t="s">
        <v>167</v>
      </c>
      <c r="DB9" t="s">
        <v>167</v>
      </c>
      <c r="DC9" t="s">
        <v>167</v>
      </c>
      <c r="DD9" t="s">
        <v>167</v>
      </c>
      <c r="DE9" t="s">
        <v>167</v>
      </c>
      <c r="DF9" t="s">
        <v>167</v>
      </c>
      <c r="DG9" t="s">
        <v>167</v>
      </c>
    </row>
    <row r="10" spans="1:111">
      <c r="A10" s="29"/>
      <c r="B10" s="16" t="s">
        <v>177</v>
      </c>
      <c r="C10" t="s">
        <v>41</v>
      </c>
      <c r="D10" s="19">
        <v>45009</v>
      </c>
      <c r="E10" t="s">
        <v>179</v>
      </c>
      <c r="G10">
        <v>78</v>
      </c>
      <c r="H10" s="8" t="s">
        <v>173</v>
      </c>
      <c r="BO10" t="s">
        <v>167</v>
      </c>
      <c r="BP10" t="s">
        <v>167</v>
      </c>
      <c r="BQ10" t="s">
        <v>167</v>
      </c>
      <c r="BR10" t="s">
        <v>167</v>
      </c>
      <c r="BS10" t="s">
        <v>167</v>
      </c>
      <c r="BT10" t="s">
        <v>167</v>
      </c>
      <c r="BU10" t="s">
        <v>167</v>
      </c>
      <c r="BV10" t="s">
        <v>167</v>
      </c>
      <c r="BW10" t="s">
        <v>167</v>
      </c>
      <c r="BX10" t="s">
        <v>167</v>
      </c>
      <c r="BY10" t="s">
        <v>167</v>
      </c>
      <c r="BZ10" t="s">
        <v>167</v>
      </c>
      <c r="CA10" t="s">
        <v>167</v>
      </c>
      <c r="CB10" t="s">
        <v>167</v>
      </c>
      <c r="CC10" t="s">
        <v>167</v>
      </c>
      <c r="CD10" t="s">
        <v>167</v>
      </c>
      <c r="CE10" t="s">
        <v>167</v>
      </c>
      <c r="CF10" t="s">
        <v>167</v>
      </c>
      <c r="CG10" t="s">
        <v>167</v>
      </c>
      <c r="CH10" t="s">
        <v>167</v>
      </c>
      <c r="CI10" t="s">
        <v>167</v>
      </c>
      <c r="CJ10" t="s">
        <v>167</v>
      </c>
      <c r="CK10" t="s">
        <v>167</v>
      </c>
      <c r="CL10" t="s">
        <v>167</v>
      </c>
      <c r="CM10" t="s">
        <v>167</v>
      </c>
      <c r="CN10" t="s">
        <v>167</v>
      </c>
      <c r="CO10" t="s">
        <v>167</v>
      </c>
      <c r="CP10" t="s">
        <v>167</v>
      </c>
      <c r="CQ10" t="s">
        <v>167</v>
      </c>
      <c r="CR10" t="s">
        <v>167</v>
      </c>
      <c r="CS10" t="s">
        <v>167</v>
      </c>
      <c r="CT10" t="s">
        <v>167</v>
      </c>
      <c r="CU10" t="s">
        <v>167</v>
      </c>
      <c r="CV10" t="s">
        <v>167</v>
      </c>
      <c r="CW10" t="s">
        <v>167</v>
      </c>
      <c r="CX10" t="s">
        <v>167</v>
      </c>
      <c r="CY10" t="s">
        <v>167</v>
      </c>
      <c r="CZ10" t="s">
        <v>167</v>
      </c>
      <c r="DA10" t="s">
        <v>167</v>
      </c>
      <c r="DB10" t="s">
        <v>167</v>
      </c>
      <c r="DC10" t="s">
        <v>167</v>
      </c>
      <c r="DD10" t="s">
        <v>167</v>
      </c>
      <c r="DE10" t="s">
        <v>167</v>
      </c>
      <c r="DF10" t="s">
        <v>167</v>
      </c>
      <c r="DG10" t="s">
        <v>167</v>
      </c>
    </row>
    <row r="11" spans="1:111">
      <c r="A11" s="29"/>
      <c r="B11" s="11" t="str">
        <f>LEFT(C11,FIND("-",C11)-1)</f>
        <v>01Asc</v>
      </c>
      <c r="C11" t="s">
        <v>43</v>
      </c>
      <c r="D11" s="22">
        <v>45454</v>
      </c>
      <c r="E11" t="s">
        <v>180</v>
      </c>
      <c r="F11" t="s">
        <v>181</v>
      </c>
      <c r="G11">
        <v>60</v>
      </c>
      <c r="H11" t="s">
        <v>159</v>
      </c>
      <c r="I11" t="s">
        <v>181</v>
      </c>
      <c r="J11" t="s">
        <v>181</v>
      </c>
      <c r="K11" t="s">
        <v>181</v>
      </c>
      <c r="L11" t="s">
        <v>181</v>
      </c>
      <c r="M11" t="s">
        <v>181</v>
      </c>
      <c r="N11" t="s">
        <v>181</v>
      </c>
      <c r="O11" t="s">
        <v>181</v>
      </c>
      <c r="P11" t="s">
        <v>181</v>
      </c>
      <c r="Q11" t="s">
        <v>181</v>
      </c>
      <c r="R11" t="s">
        <v>181</v>
      </c>
      <c r="S11" t="s">
        <v>181</v>
      </c>
      <c r="T11" t="s">
        <v>181</v>
      </c>
      <c r="U11" t="s">
        <v>181</v>
      </c>
      <c r="V11" t="s">
        <v>181</v>
      </c>
      <c r="W11" t="s">
        <v>181</v>
      </c>
      <c r="X11" t="s">
        <v>181</v>
      </c>
      <c r="Y11" t="s">
        <v>181</v>
      </c>
      <c r="Z11" t="s">
        <v>181</v>
      </c>
      <c r="AA11" t="s">
        <v>181</v>
      </c>
      <c r="AB11" t="s">
        <v>181</v>
      </c>
      <c r="AC11" t="s">
        <v>181</v>
      </c>
      <c r="AD11" t="s">
        <v>181</v>
      </c>
      <c r="AE11" t="s">
        <v>181</v>
      </c>
      <c r="AF11" t="s">
        <v>181</v>
      </c>
      <c r="AG11" t="s">
        <v>181</v>
      </c>
      <c r="AH11" t="s">
        <v>181</v>
      </c>
      <c r="AI11" t="s">
        <v>181</v>
      </c>
      <c r="AJ11" t="s">
        <v>181</v>
      </c>
      <c r="AK11" t="s">
        <v>181</v>
      </c>
      <c r="AL11" t="s">
        <v>181</v>
      </c>
      <c r="AM11" t="s">
        <v>181</v>
      </c>
      <c r="AN11" t="s">
        <v>181</v>
      </c>
      <c r="AO11" t="s">
        <v>181</v>
      </c>
      <c r="AP11" t="s">
        <v>181</v>
      </c>
      <c r="AQ11" t="s">
        <v>181</v>
      </c>
      <c r="AR11" t="s">
        <v>181</v>
      </c>
      <c r="AS11" t="s">
        <v>181</v>
      </c>
      <c r="AT11" t="s">
        <v>181</v>
      </c>
      <c r="AU11" t="s">
        <v>181</v>
      </c>
      <c r="AV11" s="8" t="s">
        <v>161</v>
      </c>
      <c r="AW11" s="8" t="s">
        <v>161</v>
      </c>
      <c r="AX11" s="8" t="s">
        <v>161</v>
      </c>
      <c r="BA11" s="8" t="s">
        <v>167</v>
      </c>
      <c r="BB11" t="s">
        <v>181</v>
      </c>
      <c r="BC11" t="s">
        <v>182</v>
      </c>
      <c r="BD11" t="s">
        <v>182</v>
      </c>
      <c r="BE11" t="s">
        <v>182</v>
      </c>
      <c r="BF11" t="s">
        <v>182</v>
      </c>
      <c r="BG11" t="s">
        <v>182</v>
      </c>
      <c r="BH11" t="s">
        <v>182</v>
      </c>
      <c r="BI11" t="s">
        <v>182</v>
      </c>
      <c r="BJ11" t="s">
        <v>182</v>
      </c>
      <c r="BK11" t="s">
        <v>182</v>
      </c>
      <c r="BM11" t="s">
        <v>182</v>
      </c>
      <c r="BO11" t="s">
        <v>167</v>
      </c>
      <c r="BP11" t="s">
        <v>167</v>
      </c>
      <c r="BQ11" t="s">
        <v>167</v>
      </c>
      <c r="BR11" t="s">
        <v>167</v>
      </c>
      <c r="BS11" t="s">
        <v>167</v>
      </c>
      <c r="BT11" t="s">
        <v>167</v>
      </c>
      <c r="BU11" t="s">
        <v>167</v>
      </c>
      <c r="BV11" t="s">
        <v>167</v>
      </c>
      <c r="BW11" t="s">
        <v>167</v>
      </c>
      <c r="BX11" t="s">
        <v>167</v>
      </c>
      <c r="BY11" t="s">
        <v>167</v>
      </c>
      <c r="BZ11" t="s">
        <v>167</v>
      </c>
      <c r="CA11" t="s">
        <v>167</v>
      </c>
      <c r="CB11" t="s">
        <v>167</v>
      </c>
      <c r="CC11" t="s">
        <v>167</v>
      </c>
      <c r="CD11" t="s">
        <v>167</v>
      </c>
      <c r="CE11" t="s">
        <v>167</v>
      </c>
      <c r="CF11" t="s">
        <v>167</v>
      </c>
      <c r="CG11" t="s">
        <v>167</v>
      </c>
      <c r="CH11" t="s">
        <v>167</v>
      </c>
      <c r="CI11" t="s">
        <v>167</v>
      </c>
      <c r="CJ11" t="s">
        <v>167</v>
      </c>
      <c r="CK11" t="s">
        <v>167</v>
      </c>
      <c r="CL11" t="s">
        <v>167</v>
      </c>
      <c r="CM11" t="s">
        <v>167</v>
      </c>
      <c r="CN11" t="s">
        <v>167</v>
      </c>
      <c r="CO11" t="s">
        <v>167</v>
      </c>
      <c r="CP11" t="s">
        <v>167</v>
      </c>
      <c r="CQ11" t="s">
        <v>167</v>
      </c>
      <c r="CR11" t="s">
        <v>167</v>
      </c>
      <c r="CS11" t="s">
        <v>167</v>
      </c>
      <c r="CT11" t="s">
        <v>167</v>
      </c>
      <c r="CU11" t="s">
        <v>167</v>
      </c>
      <c r="CV11" t="s">
        <v>167</v>
      </c>
      <c r="CW11" t="s">
        <v>167</v>
      </c>
      <c r="CX11" t="s">
        <v>167</v>
      </c>
      <c r="CY11" t="s">
        <v>167</v>
      </c>
      <c r="CZ11" t="s">
        <v>167</v>
      </c>
      <c r="DA11" t="s">
        <v>167</v>
      </c>
      <c r="DB11" t="s">
        <v>167</v>
      </c>
      <c r="DC11" t="s">
        <v>167</v>
      </c>
      <c r="DD11" t="s">
        <v>167</v>
      </c>
      <c r="DE11" t="s">
        <v>167</v>
      </c>
      <c r="DF11" t="s">
        <v>167</v>
      </c>
      <c r="DG11" t="s">
        <v>167</v>
      </c>
    </row>
    <row r="12" spans="1:111">
      <c r="A12" s="29"/>
      <c r="B12" s="11" t="str">
        <f>LEFT(C12,FIND("-",C12)-1)</f>
        <v>01Asc</v>
      </c>
      <c r="C12" t="s">
        <v>45</v>
      </c>
      <c r="D12" s="23">
        <v>45454</v>
      </c>
      <c r="E12" t="s">
        <v>180</v>
      </c>
      <c r="F12" t="s">
        <v>181</v>
      </c>
      <c r="G12">
        <v>49</v>
      </c>
      <c r="H12" t="s">
        <v>159</v>
      </c>
      <c r="I12" t="s">
        <v>181</v>
      </c>
      <c r="J12" t="s">
        <v>181</v>
      </c>
      <c r="K12" t="s">
        <v>181</v>
      </c>
      <c r="L12" t="s">
        <v>181</v>
      </c>
      <c r="M12" t="s">
        <v>181</v>
      </c>
      <c r="N12" t="s">
        <v>181</v>
      </c>
      <c r="O12" t="s">
        <v>181</v>
      </c>
      <c r="P12" t="s">
        <v>181</v>
      </c>
      <c r="Q12" t="s">
        <v>181</v>
      </c>
      <c r="R12" t="s">
        <v>181</v>
      </c>
      <c r="S12" t="s">
        <v>181</v>
      </c>
      <c r="T12" t="s">
        <v>181</v>
      </c>
      <c r="U12" t="s">
        <v>181</v>
      </c>
      <c r="V12" t="s">
        <v>181</v>
      </c>
      <c r="W12" t="s">
        <v>181</v>
      </c>
      <c r="X12" t="s">
        <v>181</v>
      </c>
      <c r="Y12" t="s">
        <v>181</v>
      </c>
      <c r="Z12" t="s">
        <v>181</v>
      </c>
      <c r="AA12" t="s">
        <v>181</v>
      </c>
      <c r="AB12" t="s">
        <v>181</v>
      </c>
      <c r="AC12" t="s">
        <v>181</v>
      </c>
      <c r="AD12" t="s">
        <v>181</v>
      </c>
      <c r="AE12" t="s">
        <v>181</v>
      </c>
      <c r="AF12" t="s">
        <v>181</v>
      </c>
      <c r="AG12" t="s">
        <v>181</v>
      </c>
      <c r="AH12" t="s">
        <v>181</v>
      </c>
      <c r="AI12" t="s">
        <v>181</v>
      </c>
      <c r="AJ12" t="s">
        <v>181</v>
      </c>
      <c r="AK12" t="s">
        <v>181</v>
      </c>
      <c r="AL12" t="s">
        <v>181</v>
      </c>
      <c r="AM12" t="s">
        <v>181</v>
      </c>
      <c r="AN12" t="s">
        <v>181</v>
      </c>
      <c r="AO12" t="s">
        <v>181</v>
      </c>
      <c r="AP12" t="s">
        <v>181</v>
      </c>
      <c r="AQ12" t="s">
        <v>181</v>
      </c>
      <c r="AR12" t="s">
        <v>181</v>
      </c>
      <c r="AS12" t="s">
        <v>181</v>
      </c>
      <c r="AT12" t="s">
        <v>181</v>
      </c>
      <c r="AU12" t="s">
        <v>181</v>
      </c>
      <c r="AV12" s="8" t="s">
        <v>161</v>
      </c>
      <c r="AW12" s="8" t="s">
        <v>161</v>
      </c>
      <c r="AX12" s="8" t="s">
        <v>161</v>
      </c>
      <c r="BA12" s="8" t="s">
        <v>167</v>
      </c>
      <c r="BB12" t="s">
        <v>181</v>
      </c>
      <c r="BC12" t="s">
        <v>182</v>
      </c>
      <c r="BD12" t="s">
        <v>182</v>
      </c>
      <c r="BE12" t="s">
        <v>182</v>
      </c>
      <c r="BF12" t="s">
        <v>182</v>
      </c>
      <c r="BG12" t="s">
        <v>182</v>
      </c>
      <c r="BH12" t="s">
        <v>182</v>
      </c>
      <c r="BI12" t="s">
        <v>182</v>
      </c>
      <c r="BJ12" t="s">
        <v>182</v>
      </c>
      <c r="BK12" t="s">
        <v>182</v>
      </c>
      <c r="BM12" t="s">
        <v>182</v>
      </c>
      <c r="BO12" t="s">
        <v>167</v>
      </c>
      <c r="BP12" t="s">
        <v>167</v>
      </c>
      <c r="BQ12" t="s">
        <v>167</v>
      </c>
      <c r="BR12" t="s">
        <v>167</v>
      </c>
      <c r="BS12" t="s">
        <v>167</v>
      </c>
      <c r="BT12" t="s">
        <v>167</v>
      </c>
      <c r="BU12" t="s">
        <v>167</v>
      </c>
      <c r="BV12" t="s">
        <v>167</v>
      </c>
      <c r="BW12" t="s">
        <v>167</v>
      </c>
      <c r="BX12" t="s">
        <v>167</v>
      </c>
      <c r="BY12" t="s">
        <v>167</v>
      </c>
      <c r="BZ12" t="s">
        <v>167</v>
      </c>
      <c r="CA12" t="s">
        <v>167</v>
      </c>
      <c r="CB12" t="s">
        <v>167</v>
      </c>
      <c r="CC12" t="s">
        <v>167</v>
      </c>
      <c r="CD12" t="s">
        <v>167</v>
      </c>
      <c r="CE12" t="s">
        <v>167</v>
      </c>
      <c r="CF12" t="s">
        <v>167</v>
      </c>
      <c r="CG12" t="s">
        <v>167</v>
      </c>
      <c r="CH12" t="s">
        <v>167</v>
      </c>
      <c r="CI12" t="s">
        <v>167</v>
      </c>
      <c r="CJ12" t="s">
        <v>167</v>
      </c>
      <c r="CK12" t="s">
        <v>167</v>
      </c>
      <c r="CL12" t="s">
        <v>167</v>
      </c>
      <c r="CM12" t="s">
        <v>167</v>
      </c>
      <c r="CN12" t="s">
        <v>167</v>
      </c>
      <c r="CO12" t="s">
        <v>167</v>
      </c>
      <c r="CP12" t="s">
        <v>167</v>
      </c>
      <c r="CQ12" t="s">
        <v>167</v>
      </c>
      <c r="CR12" t="s">
        <v>167</v>
      </c>
      <c r="CS12" t="s">
        <v>167</v>
      </c>
      <c r="CT12" t="s">
        <v>167</v>
      </c>
      <c r="CU12" t="s">
        <v>167</v>
      </c>
      <c r="CV12" t="s">
        <v>167</v>
      </c>
      <c r="CW12" t="s">
        <v>167</v>
      </c>
      <c r="CX12" t="s">
        <v>167</v>
      </c>
      <c r="CY12" t="s">
        <v>167</v>
      </c>
      <c r="CZ12" t="s">
        <v>167</v>
      </c>
      <c r="DA12" t="s">
        <v>167</v>
      </c>
      <c r="DB12" t="s">
        <v>167</v>
      </c>
      <c r="DC12" t="s">
        <v>167</v>
      </c>
      <c r="DD12" t="s">
        <v>167</v>
      </c>
      <c r="DE12" t="s">
        <v>167</v>
      </c>
      <c r="DF12" t="s">
        <v>167</v>
      </c>
      <c r="DG12" t="s">
        <v>167</v>
      </c>
    </row>
    <row r="13" spans="1:111" s="24" customFormat="1">
      <c r="B13" s="25"/>
      <c r="D13" s="26"/>
    </row>
    <row r="14" spans="1:111" s="8" customFormat="1">
      <c r="A14" s="29" t="s">
        <v>183</v>
      </c>
      <c r="B14" s="11" t="str">
        <f t="shared" ref="B14:B23" si="1">LEFT(C14,FIND("-",C14)-1)</f>
        <v>03Asc</v>
      </c>
      <c r="C14" s="8" t="s">
        <v>184</v>
      </c>
      <c r="D14" s="20">
        <v>45006</v>
      </c>
      <c r="E14" s="8" t="s">
        <v>185</v>
      </c>
      <c r="F14" s="9">
        <v>1.9954183632623099</v>
      </c>
      <c r="G14" s="8">
        <v>62</v>
      </c>
      <c r="H14" s="8" t="s">
        <v>159</v>
      </c>
      <c r="I14" s="8" t="s">
        <v>160</v>
      </c>
      <c r="J14" s="8" t="s">
        <v>160</v>
      </c>
      <c r="P14" s="8" t="s">
        <v>161</v>
      </c>
      <c r="Q14" s="8">
        <v>172.7</v>
      </c>
      <c r="R14" s="8">
        <v>83</v>
      </c>
      <c r="S14" s="9">
        <v>27.82873</v>
      </c>
      <c r="T14" s="8" t="s">
        <v>161</v>
      </c>
      <c r="U14" s="8" t="s">
        <v>161</v>
      </c>
      <c r="W14" s="8" t="s">
        <v>161</v>
      </c>
      <c r="X14" s="8" t="s">
        <v>160</v>
      </c>
      <c r="Y14" s="8" t="s">
        <v>161</v>
      </c>
      <c r="Z14" s="8" t="s">
        <v>170</v>
      </c>
      <c r="AA14" s="8" t="s">
        <v>161</v>
      </c>
      <c r="AB14" s="8" t="s">
        <v>161</v>
      </c>
      <c r="AC14" s="8" t="s">
        <v>161</v>
      </c>
      <c r="AD14" s="8" t="s">
        <v>161</v>
      </c>
      <c r="AE14" s="8" t="s">
        <v>161</v>
      </c>
      <c r="AF14" s="8" t="s">
        <v>160</v>
      </c>
      <c r="AG14" s="8" t="s">
        <v>161</v>
      </c>
      <c r="AH14" s="8" t="s">
        <v>161</v>
      </c>
      <c r="AI14" s="8" t="s">
        <v>161</v>
      </c>
      <c r="AM14" s="8" t="s">
        <v>161</v>
      </c>
      <c r="AN14" s="8" t="s">
        <v>161</v>
      </c>
      <c r="AO14" s="8" t="s">
        <v>176</v>
      </c>
      <c r="AP14" s="8" t="s">
        <v>161</v>
      </c>
      <c r="AQ14" s="8" t="s">
        <v>161</v>
      </c>
      <c r="AR14" s="8" t="s">
        <v>160</v>
      </c>
      <c r="AS14" s="8" t="s">
        <v>161</v>
      </c>
      <c r="AT14" s="8" t="s">
        <v>161</v>
      </c>
      <c r="AU14" s="8" t="s">
        <v>161</v>
      </c>
      <c r="AV14" s="8" t="s">
        <v>160</v>
      </c>
      <c r="AW14" s="8" t="s">
        <v>175</v>
      </c>
      <c r="AX14" s="8" t="s">
        <v>161</v>
      </c>
      <c r="AZ14" s="8" t="s">
        <v>160</v>
      </c>
      <c r="BA14" s="8" t="s">
        <v>186</v>
      </c>
      <c r="BB14" s="8" t="s">
        <v>187</v>
      </c>
      <c r="BC14" s="8" t="s">
        <v>174</v>
      </c>
      <c r="BD14" s="8" t="s">
        <v>161</v>
      </c>
      <c r="BK14" s="8" t="s">
        <v>161</v>
      </c>
      <c r="BM14" s="8" t="s">
        <v>161</v>
      </c>
      <c r="BO14" s="8" t="s">
        <v>188</v>
      </c>
      <c r="BQ14" s="8" t="s">
        <v>189</v>
      </c>
      <c r="BR14" s="8" t="s">
        <v>174</v>
      </c>
      <c r="BS14" s="8" t="s">
        <v>190</v>
      </c>
      <c r="BT14" s="8" t="s">
        <v>161</v>
      </c>
      <c r="BV14" s="8" t="s">
        <v>191</v>
      </c>
      <c r="CJ14" s="8" t="s">
        <v>160</v>
      </c>
      <c r="CK14" s="8" t="s">
        <v>161</v>
      </c>
      <c r="CM14" s="8" t="s">
        <v>161</v>
      </c>
      <c r="CO14" s="8" t="s">
        <v>161</v>
      </c>
      <c r="CQ14" s="8" t="s">
        <v>161</v>
      </c>
      <c r="CR14" s="8" t="s">
        <v>191</v>
      </c>
      <c r="CS14" s="8">
        <v>54</v>
      </c>
      <c r="CT14" s="8" t="s">
        <v>192</v>
      </c>
      <c r="CU14" s="8" t="s">
        <v>161</v>
      </c>
      <c r="CY14" s="8" t="s">
        <v>160</v>
      </c>
      <c r="CZ14" s="8" t="s">
        <v>193</v>
      </c>
      <c r="DA14" s="8">
        <v>25</v>
      </c>
      <c r="DB14" s="8" t="s">
        <v>192</v>
      </c>
      <c r="DC14" s="8" t="s">
        <v>160</v>
      </c>
      <c r="DD14" s="8" t="s">
        <v>191</v>
      </c>
      <c r="DE14" s="8" t="s">
        <v>161</v>
      </c>
    </row>
    <row r="15" spans="1:111" s="8" customFormat="1">
      <c r="A15" s="29"/>
      <c r="B15" s="11" t="str">
        <f t="shared" si="1"/>
        <v>03Asc</v>
      </c>
      <c r="C15" s="12" t="s">
        <v>194</v>
      </c>
      <c r="D15" s="20">
        <v>45271</v>
      </c>
      <c r="E15" s="8" t="s">
        <v>195</v>
      </c>
      <c r="F15" s="9">
        <v>2.1560863464465698</v>
      </c>
      <c r="G15" s="8">
        <v>70</v>
      </c>
      <c r="H15" s="8" t="s">
        <v>159</v>
      </c>
      <c r="I15" s="8" t="s">
        <v>160</v>
      </c>
      <c r="J15" s="8" t="s">
        <v>160</v>
      </c>
      <c r="P15" s="8" t="s">
        <v>161</v>
      </c>
      <c r="Q15" s="8">
        <v>182.9</v>
      </c>
      <c r="R15" s="8">
        <v>91.5</v>
      </c>
      <c r="S15" s="9">
        <v>27.35228</v>
      </c>
      <c r="T15" s="8" t="s">
        <v>161</v>
      </c>
      <c r="U15" s="8" t="s">
        <v>160</v>
      </c>
      <c r="V15" s="8" t="s">
        <v>187</v>
      </c>
      <c r="W15" s="8" t="s">
        <v>161</v>
      </c>
      <c r="X15" s="8" t="s">
        <v>160</v>
      </c>
      <c r="Y15" s="8" t="s">
        <v>161</v>
      </c>
      <c r="Z15" s="8" t="s">
        <v>162</v>
      </c>
      <c r="AA15" s="8" t="s">
        <v>161</v>
      </c>
      <c r="AB15" s="8" t="s">
        <v>163</v>
      </c>
      <c r="AC15" s="8" t="s">
        <v>161</v>
      </c>
      <c r="AD15" s="8" t="s">
        <v>161</v>
      </c>
      <c r="AE15" s="8" t="s">
        <v>161</v>
      </c>
      <c r="AF15" s="8" t="s">
        <v>161</v>
      </c>
      <c r="AG15" s="8" t="s">
        <v>160</v>
      </c>
      <c r="AH15" s="8" t="s">
        <v>160</v>
      </c>
      <c r="AI15" s="8" t="s">
        <v>160</v>
      </c>
      <c r="AJ15" s="8" t="s">
        <v>161</v>
      </c>
      <c r="AK15" s="8" t="s">
        <v>161</v>
      </c>
      <c r="AL15" s="8" t="s">
        <v>160</v>
      </c>
      <c r="AM15" s="8" t="s">
        <v>160</v>
      </c>
      <c r="AN15" s="8" t="s">
        <v>161</v>
      </c>
      <c r="AO15" s="8" t="s">
        <v>196</v>
      </c>
      <c r="AP15" s="8" t="s">
        <v>160</v>
      </c>
      <c r="AQ15" s="8" t="s">
        <v>161</v>
      </c>
      <c r="AR15" s="8" t="s">
        <v>160</v>
      </c>
      <c r="AS15" s="8" t="s">
        <v>161</v>
      </c>
      <c r="AT15" s="8" t="s">
        <v>161</v>
      </c>
      <c r="AU15" s="8" t="s">
        <v>161</v>
      </c>
      <c r="AV15" s="8" t="s">
        <v>160</v>
      </c>
      <c r="AW15" s="8" t="s">
        <v>175</v>
      </c>
      <c r="AX15" s="8" t="s">
        <v>160</v>
      </c>
      <c r="AY15" s="8" t="s">
        <v>197</v>
      </c>
      <c r="AZ15" s="8" t="s">
        <v>160</v>
      </c>
      <c r="BA15" s="8" t="s">
        <v>198</v>
      </c>
      <c r="BB15" s="8" t="s">
        <v>174</v>
      </c>
      <c r="BC15" s="8" t="s">
        <v>174</v>
      </c>
      <c r="BD15" s="8" t="s">
        <v>161</v>
      </c>
      <c r="BK15" s="8" t="s">
        <v>161</v>
      </c>
      <c r="BM15" s="8" t="s">
        <v>161</v>
      </c>
      <c r="BO15" s="8" t="s">
        <v>199</v>
      </c>
      <c r="BQ15" s="8" t="s">
        <v>199</v>
      </c>
      <c r="CI15" s="8" t="s">
        <v>200</v>
      </c>
      <c r="CJ15" s="8" t="s">
        <v>161</v>
      </c>
      <c r="CK15" s="8" t="s">
        <v>161</v>
      </c>
      <c r="CM15" s="8" t="s">
        <v>161</v>
      </c>
      <c r="CO15" s="8" t="s">
        <v>161</v>
      </c>
      <c r="CQ15" s="8" t="s">
        <v>161</v>
      </c>
      <c r="CU15" s="8" t="s">
        <v>161</v>
      </c>
      <c r="CY15" s="8" t="s">
        <v>161</v>
      </c>
      <c r="DC15" s="8" t="s">
        <v>160</v>
      </c>
      <c r="DD15" s="8" t="s">
        <v>191</v>
      </c>
      <c r="DE15" s="8" t="s">
        <v>161</v>
      </c>
    </row>
    <row r="16" spans="1:111" s="8" customFormat="1">
      <c r="A16" s="29"/>
      <c r="B16" s="11" t="str">
        <f t="shared" si="1"/>
        <v>03Rt</v>
      </c>
      <c r="C16" s="8" t="s">
        <v>201</v>
      </c>
      <c r="D16" s="20">
        <v>45282</v>
      </c>
      <c r="E16" s="8" t="s">
        <v>202</v>
      </c>
      <c r="F16" s="9">
        <v>2.3607984760340002</v>
      </c>
      <c r="G16" s="8">
        <v>75</v>
      </c>
      <c r="H16" s="8" t="s">
        <v>159</v>
      </c>
      <c r="I16" s="8" t="s">
        <v>160</v>
      </c>
      <c r="J16" s="8" t="s">
        <v>160</v>
      </c>
      <c r="P16" s="8" t="s">
        <v>203</v>
      </c>
      <c r="Q16" s="8">
        <v>182.9</v>
      </c>
      <c r="R16" s="8">
        <v>109.7</v>
      </c>
      <c r="S16" s="9">
        <v>32.792850000000001</v>
      </c>
      <c r="T16" s="8" t="s">
        <v>161</v>
      </c>
      <c r="U16" s="8" t="s">
        <v>161</v>
      </c>
      <c r="W16" s="8" t="s">
        <v>161</v>
      </c>
      <c r="X16" s="8" t="s">
        <v>160</v>
      </c>
      <c r="Y16" s="8" t="s">
        <v>161</v>
      </c>
      <c r="Z16" s="8" t="s">
        <v>162</v>
      </c>
      <c r="AA16" s="8" t="s">
        <v>161</v>
      </c>
      <c r="AB16" s="8" t="s">
        <v>161</v>
      </c>
      <c r="AC16" s="8" t="s">
        <v>161</v>
      </c>
      <c r="AD16" s="8" t="s">
        <v>161</v>
      </c>
      <c r="AE16" s="8" t="s">
        <v>161</v>
      </c>
      <c r="AF16" s="8" t="s">
        <v>161</v>
      </c>
      <c r="AG16" s="8" t="s">
        <v>160</v>
      </c>
      <c r="AH16" s="8" t="s">
        <v>160</v>
      </c>
      <c r="AI16" s="8" t="s">
        <v>160</v>
      </c>
      <c r="AJ16" s="8" t="s">
        <v>161</v>
      </c>
      <c r="AK16" s="8" t="s">
        <v>161</v>
      </c>
      <c r="AL16" s="8" t="s">
        <v>160</v>
      </c>
      <c r="AM16" s="8" t="s">
        <v>161</v>
      </c>
      <c r="AN16" s="8" t="s">
        <v>161</v>
      </c>
      <c r="AO16" s="8" t="s">
        <v>176</v>
      </c>
      <c r="AP16" s="8" t="s">
        <v>160</v>
      </c>
      <c r="AQ16" s="8" t="s">
        <v>161</v>
      </c>
      <c r="AR16" s="8" t="s">
        <v>160</v>
      </c>
      <c r="AS16" s="8" t="s">
        <v>161</v>
      </c>
      <c r="AT16" s="8" t="s">
        <v>161</v>
      </c>
      <c r="AU16" s="8" t="s">
        <v>161</v>
      </c>
      <c r="AV16" s="8" t="s">
        <v>160</v>
      </c>
      <c r="AW16" s="8" t="s">
        <v>204</v>
      </c>
      <c r="AX16" s="8" t="s">
        <v>160</v>
      </c>
      <c r="AY16" s="8" t="s">
        <v>204</v>
      </c>
      <c r="AZ16" s="8" t="s">
        <v>160</v>
      </c>
      <c r="BA16" s="8" t="s">
        <v>198</v>
      </c>
      <c r="BB16" s="8" t="s">
        <v>174</v>
      </c>
      <c r="BC16" s="8" t="s">
        <v>174</v>
      </c>
      <c r="BD16" s="8" t="s">
        <v>161</v>
      </c>
      <c r="BK16" s="8" t="s">
        <v>161</v>
      </c>
      <c r="BM16" s="8" t="s">
        <v>161</v>
      </c>
      <c r="BO16" s="8" t="s">
        <v>199</v>
      </c>
      <c r="BQ16" s="8" t="s">
        <v>189</v>
      </c>
      <c r="BR16" s="8" t="s">
        <v>174</v>
      </c>
      <c r="BS16" s="8" t="s">
        <v>190</v>
      </c>
      <c r="BT16" s="8" t="s">
        <v>161</v>
      </c>
      <c r="BV16" s="8" t="s">
        <v>205</v>
      </c>
      <c r="CJ16" s="8" t="s">
        <v>174</v>
      </c>
      <c r="CK16" s="8" t="s">
        <v>161</v>
      </c>
      <c r="CM16" s="8" t="s">
        <v>161</v>
      </c>
      <c r="CO16" s="8" t="s">
        <v>161</v>
      </c>
      <c r="CQ16" s="8" t="s">
        <v>161</v>
      </c>
      <c r="CR16" s="8" t="s">
        <v>191</v>
      </c>
      <c r="CS16" s="8">
        <v>40</v>
      </c>
      <c r="CT16" s="8" t="s">
        <v>206</v>
      </c>
      <c r="CU16" s="8" t="s">
        <v>160</v>
      </c>
      <c r="CV16" s="8" t="s">
        <v>205</v>
      </c>
      <c r="CW16" s="8">
        <v>38</v>
      </c>
      <c r="CX16" s="8" t="s">
        <v>206</v>
      </c>
      <c r="CY16" s="8" t="s">
        <v>160</v>
      </c>
      <c r="CZ16" s="8" t="s">
        <v>207</v>
      </c>
      <c r="DA16" s="8">
        <v>31</v>
      </c>
      <c r="DB16" s="8" t="s">
        <v>206</v>
      </c>
      <c r="DC16" s="8" t="s">
        <v>160</v>
      </c>
      <c r="DD16" s="8" t="s">
        <v>191</v>
      </c>
      <c r="DE16" s="8" t="s">
        <v>161</v>
      </c>
    </row>
    <row r="17" spans="1:109" s="8" customFormat="1">
      <c r="A17" s="29"/>
      <c r="B17" s="11" t="str">
        <f t="shared" si="1"/>
        <v>03Asc</v>
      </c>
      <c r="C17" s="8" t="s">
        <v>208</v>
      </c>
      <c r="D17" s="20">
        <v>45289</v>
      </c>
      <c r="E17" s="8" t="s">
        <v>209</v>
      </c>
      <c r="F17" s="9">
        <v>1.6016866110447401</v>
      </c>
      <c r="G17" s="8">
        <v>75</v>
      </c>
      <c r="H17" s="8" t="s">
        <v>173</v>
      </c>
      <c r="I17" s="8" t="s">
        <v>160</v>
      </c>
      <c r="J17" s="8" t="s">
        <v>160</v>
      </c>
      <c r="P17" s="8" t="s">
        <v>161</v>
      </c>
      <c r="Q17" s="8">
        <v>152.4</v>
      </c>
      <c r="R17" s="8">
        <v>60.6</v>
      </c>
      <c r="S17" s="9">
        <v>26.091709999999999</v>
      </c>
      <c r="T17" s="8" t="s">
        <v>161</v>
      </c>
      <c r="U17" s="8" t="s">
        <v>161</v>
      </c>
      <c r="W17" s="8" t="s">
        <v>161</v>
      </c>
      <c r="X17" s="8" t="s">
        <v>160</v>
      </c>
      <c r="Y17" s="8" t="s">
        <v>161</v>
      </c>
      <c r="Z17" s="8" t="s">
        <v>170</v>
      </c>
      <c r="AA17" s="8" t="s">
        <v>160</v>
      </c>
      <c r="AB17" s="8" t="s">
        <v>161</v>
      </c>
      <c r="AC17" s="8" t="s">
        <v>161</v>
      </c>
      <c r="AD17" s="8" t="s">
        <v>161</v>
      </c>
      <c r="AE17" s="8" t="s">
        <v>161</v>
      </c>
      <c r="AF17" s="8" t="s">
        <v>161</v>
      </c>
      <c r="AG17" s="8" t="s">
        <v>160</v>
      </c>
      <c r="AH17" s="8" t="s">
        <v>160</v>
      </c>
      <c r="AI17" s="8" t="s">
        <v>161</v>
      </c>
      <c r="AM17" s="8" t="s">
        <v>161</v>
      </c>
      <c r="AN17" s="8" t="s">
        <v>160</v>
      </c>
      <c r="AO17" s="8" t="s">
        <v>210</v>
      </c>
      <c r="AP17" s="8" t="s">
        <v>160</v>
      </c>
      <c r="AQ17" s="8" t="s">
        <v>161</v>
      </c>
      <c r="AR17" s="8" t="s">
        <v>160</v>
      </c>
      <c r="AS17" s="8" t="s">
        <v>161</v>
      </c>
      <c r="AT17" s="8" t="s">
        <v>161</v>
      </c>
      <c r="AU17" s="8" t="s">
        <v>161</v>
      </c>
      <c r="AV17" s="8" t="s">
        <v>160</v>
      </c>
      <c r="AW17" s="8" t="s">
        <v>175</v>
      </c>
      <c r="AX17" s="8" t="s">
        <v>161</v>
      </c>
      <c r="AZ17" s="8" t="s">
        <v>160</v>
      </c>
      <c r="BA17" s="8" t="s">
        <v>198</v>
      </c>
      <c r="BB17" s="8" t="s">
        <v>174</v>
      </c>
      <c r="BC17" s="8" t="s">
        <v>174</v>
      </c>
      <c r="BD17" s="8" t="s">
        <v>161</v>
      </c>
      <c r="BK17" s="8" t="s">
        <v>161</v>
      </c>
      <c r="BM17" s="8" t="s">
        <v>161</v>
      </c>
      <c r="BO17" s="8" t="s">
        <v>199</v>
      </c>
      <c r="BQ17" s="8" t="s">
        <v>189</v>
      </c>
      <c r="BR17" s="8" t="s">
        <v>211</v>
      </c>
      <c r="BS17" s="8" t="s">
        <v>190</v>
      </c>
      <c r="BT17" s="8" t="s">
        <v>161</v>
      </c>
      <c r="BV17" s="8" t="s">
        <v>212</v>
      </c>
      <c r="CJ17" s="8" t="s">
        <v>161</v>
      </c>
      <c r="CK17" s="8" t="s">
        <v>161</v>
      </c>
      <c r="CM17" s="8" t="s">
        <v>161</v>
      </c>
      <c r="CO17" s="8" t="s">
        <v>161</v>
      </c>
      <c r="CQ17" s="8" t="s">
        <v>161</v>
      </c>
      <c r="CR17" s="8" t="s">
        <v>213</v>
      </c>
      <c r="CS17" s="8">
        <v>48</v>
      </c>
      <c r="CT17" s="8" t="s">
        <v>192</v>
      </c>
      <c r="CU17" s="8" t="s">
        <v>160</v>
      </c>
      <c r="CV17" s="8" t="s">
        <v>205</v>
      </c>
      <c r="CW17" s="8">
        <v>36</v>
      </c>
      <c r="CX17" s="8" t="s">
        <v>192</v>
      </c>
      <c r="CY17" s="8" t="s">
        <v>160</v>
      </c>
      <c r="CZ17" s="8" t="s">
        <v>214</v>
      </c>
      <c r="DA17" s="8">
        <v>29</v>
      </c>
      <c r="DB17" s="8" t="s">
        <v>192</v>
      </c>
      <c r="DC17" s="8" t="s">
        <v>160</v>
      </c>
      <c r="DD17" s="8" t="s">
        <v>191</v>
      </c>
      <c r="DE17" s="8" t="s">
        <v>161</v>
      </c>
    </row>
    <row r="18" spans="1:109" s="8" customFormat="1">
      <c r="A18" s="29"/>
      <c r="B18" s="11" t="str">
        <f t="shared" si="1"/>
        <v>03Asc</v>
      </c>
      <c r="C18" s="8" t="s">
        <v>215</v>
      </c>
      <c r="D18" s="20">
        <v>45295</v>
      </c>
      <c r="E18" s="8" t="s">
        <v>216</v>
      </c>
      <c r="F18" s="9">
        <v>2.2772058902669898</v>
      </c>
      <c r="G18" s="8">
        <v>68</v>
      </c>
      <c r="H18" s="8" t="s">
        <v>159</v>
      </c>
      <c r="I18" s="8" t="s">
        <v>160</v>
      </c>
      <c r="J18" s="8" t="s">
        <v>160</v>
      </c>
      <c r="P18" s="8" t="s">
        <v>161</v>
      </c>
      <c r="Q18" s="8">
        <v>188</v>
      </c>
      <c r="R18" s="8">
        <v>99.3</v>
      </c>
      <c r="S18" s="9">
        <v>28.095289999999999</v>
      </c>
      <c r="T18" s="8" t="s">
        <v>161</v>
      </c>
      <c r="U18" s="8" t="s">
        <v>161</v>
      </c>
      <c r="W18" s="8" t="s">
        <v>161</v>
      </c>
      <c r="X18" s="8" t="s">
        <v>160</v>
      </c>
      <c r="Y18" s="8" t="s">
        <v>161</v>
      </c>
      <c r="Z18" s="8" t="s">
        <v>170</v>
      </c>
      <c r="AA18" s="8" t="s">
        <v>161</v>
      </c>
      <c r="AB18" s="8" t="s">
        <v>161</v>
      </c>
      <c r="AC18" s="8" t="s">
        <v>161</v>
      </c>
      <c r="AD18" s="8" t="s">
        <v>161</v>
      </c>
      <c r="AE18" s="8" t="s">
        <v>161</v>
      </c>
      <c r="AF18" s="8" t="s">
        <v>161</v>
      </c>
      <c r="AG18" s="8" t="s">
        <v>161</v>
      </c>
      <c r="AH18" s="8" t="s">
        <v>161</v>
      </c>
      <c r="AI18" s="8" t="s">
        <v>161</v>
      </c>
      <c r="AM18" s="8" t="s">
        <v>161</v>
      </c>
      <c r="AN18" s="8" t="s">
        <v>161</v>
      </c>
      <c r="AO18" s="8" t="s">
        <v>176</v>
      </c>
      <c r="AP18" s="8" t="s">
        <v>161</v>
      </c>
      <c r="AQ18" s="8" t="s">
        <v>161</v>
      </c>
      <c r="AR18" s="8" t="s">
        <v>160</v>
      </c>
      <c r="AS18" s="8" t="s">
        <v>161</v>
      </c>
      <c r="AT18" s="8" t="s">
        <v>161</v>
      </c>
      <c r="AU18" s="8" t="s">
        <v>161</v>
      </c>
      <c r="AV18" s="8" t="s">
        <v>160</v>
      </c>
      <c r="AW18" s="8" t="s">
        <v>204</v>
      </c>
      <c r="AX18" s="8" t="s">
        <v>161</v>
      </c>
      <c r="AZ18" s="8" t="s">
        <v>160</v>
      </c>
      <c r="BA18" s="8" t="s">
        <v>217</v>
      </c>
      <c r="BB18" s="8" t="s">
        <v>187</v>
      </c>
      <c r="BC18" s="8" t="s">
        <v>174</v>
      </c>
      <c r="BD18" s="8" t="s">
        <v>161</v>
      </c>
      <c r="BK18" s="8" t="s">
        <v>161</v>
      </c>
      <c r="BM18" s="8" t="s">
        <v>161</v>
      </c>
      <c r="BO18" s="8" t="s">
        <v>188</v>
      </c>
      <c r="BQ18" s="8" t="s">
        <v>189</v>
      </c>
      <c r="BR18" s="8" t="s">
        <v>174</v>
      </c>
      <c r="BS18" s="8" t="s">
        <v>190</v>
      </c>
      <c r="BT18" s="8" t="s">
        <v>161</v>
      </c>
      <c r="BV18" s="8" t="s">
        <v>191</v>
      </c>
      <c r="CJ18" s="8" t="s">
        <v>160</v>
      </c>
      <c r="CK18" s="8" t="s">
        <v>160</v>
      </c>
      <c r="CL18" s="8" t="s">
        <v>218</v>
      </c>
      <c r="CM18" s="8" t="s">
        <v>161</v>
      </c>
      <c r="CO18" s="8" t="s">
        <v>161</v>
      </c>
      <c r="CQ18" s="8" t="s">
        <v>161</v>
      </c>
      <c r="CR18" s="8" t="s">
        <v>191</v>
      </c>
      <c r="CS18" s="8">
        <v>51</v>
      </c>
      <c r="CT18" s="8" t="s">
        <v>206</v>
      </c>
      <c r="CU18" s="8" t="s">
        <v>160</v>
      </c>
      <c r="CV18" s="8" t="s">
        <v>205</v>
      </c>
      <c r="CW18" s="8">
        <v>46</v>
      </c>
      <c r="CX18" s="8" t="s">
        <v>219</v>
      </c>
      <c r="CY18" s="8" t="s">
        <v>160</v>
      </c>
      <c r="CZ18" s="8" t="s">
        <v>207</v>
      </c>
      <c r="DA18" s="8">
        <v>3.7</v>
      </c>
      <c r="DB18" s="8" t="s">
        <v>206</v>
      </c>
      <c r="DC18" s="8" t="s">
        <v>160</v>
      </c>
      <c r="DD18" s="8" t="s">
        <v>191</v>
      </c>
      <c r="DE18" s="8" t="s">
        <v>161</v>
      </c>
    </row>
    <row r="19" spans="1:109" s="8" customFormat="1">
      <c r="A19" s="29"/>
      <c r="B19" s="11" t="str">
        <f t="shared" si="1"/>
        <v>03Asc</v>
      </c>
      <c r="C19" s="11" t="s">
        <v>220</v>
      </c>
      <c r="D19" s="20">
        <v>45357</v>
      </c>
      <c r="E19" s="8" t="s">
        <v>221</v>
      </c>
      <c r="F19" s="9">
        <v>2.0789981561640101</v>
      </c>
      <c r="G19" s="8">
        <v>65</v>
      </c>
      <c r="H19" s="8" t="s">
        <v>173</v>
      </c>
      <c r="I19" s="8" t="s">
        <v>160</v>
      </c>
      <c r="J19" s="8" t="s">
        <v>160</v>
      </c>
      <c r="P19" s="8" t="s">
        <v>161</v>
      </c>
      <c r="Q19" s="8">
        <v>152.4</v>
      </c>
      <c r="R19" s="8">
        <v>102.1</v>
      </c>
      <c r="S19" s="9">
        <v>43.959809999999997</v>
      </c>
      <c r="T19" s="8" t="s">
        <v>161</v>
      </c>
      <c r="U19" s="8" t="s">
        <v>161</v>
      </c>
      <c r="W19" s="8" t="s">
        <v>161</v>
      </c>
      <c r="X19" s="8" t="s">
        <v>160</v>
      </c>
      <c r="Y19" s="8" t="s">
        <v>161</v>
      </c>
      <c r="Z19" s="8" t="s">
        <v>170</v>
      </c>
      <c r="AA19" s="8" t="s">
        <v>160</v>
      </c>
      <c r="AB19" s="8" t="s">
        <v>161</v>
      </c>
      <c r="AC19" s="8" t="s">
        <v>161</v>
      </c>
      <c r="AD19" s="8" t="s">
        <v>161</v>
      </c>
      <c r="AE19" s="8" t="s">
        <v>161</v>
      </c>
      <c r="AF19" s="8" t="s">
        <v>161</v>
      </c>
      <c r="AG19" s="8" t="s">
        <v>161</v>
      </c>
      <c r="AH19" s="8" t="s">
        <v>161</v>
      </c>
      <c r="AI19" s="8" t="s">
        <v>161</v>
      </c>
      <c r="AM19" s="8" t="s">
        <v>161</v>
      </c>
      <c r="AN19" s="8" t="s">
        <v>161</v>
      </c>
      <c r="AO19" s="8" t="s">
        <v>176</v>
      </c>
      <c r="AP19" s="8" t="s">
        <v>161</v>
      </c>
      <c r="AQ19" s="8" t="s">
        <v>161</v>
      </c>
      <c r="AR19" s="8" t="s">
        <v>161</v>
      </c>
      <c r="AS19" s="8" t="s">
        <v>161</v>
      </c>
      <c r="AT19" s="8" t="s">
        <v>161</v>
      </c>
      <c r="AU19" s="8" t="s">
        <v>161</v>
      </c>
      <c r="AV19" s="8" t="s">
        <v>161</v>
      </c>
      <c r="AX19" s="8" t="s">
        <v>161</v>
      </c>
      <c r="AZ19" s="8" t="s">
        <v>161</v>
      </c>
      <c r="BA19" s="8" t="s">
        <v>222</v>
      </c>
      <c r="BB19" s="8" t="s">
        <v>174</v>
      </c>
      <c r="BC19" s="8" t="s">
        <v>174</v>
      </c>
      <c r="BD19" s="8" t="s">
        <v>161</v>
      </c>
      <c r="BK19" s="8" t="s">
        <v>161</v>
      </c>
      <c r="BM19" s="8" t="s">
        <v>161</v>
      </c>
      <c r="BO19" s="8" t="s">
        <v>199</v>
      </c>
      <c r="BQ19" s="8" t="s">
        <v>189</v>
      </c>
      <c r="BR19" s="8" t="s">
        <v>223</v>
      </c>
      <c r="BS19" s="8" t="s">
        <v>190</v>
      </c>
      <c r="BT19" s="8" t="s">
        <v>161</v>
      </c>
      <c r="BV19" s="8" t="s">
        <v>191</v>
      </c>
      <c r="CJ19" s="8" t="s">
        <v>161</v>
      </c>
      <c r="CK19" s="8" t="s">
        <v>161</v>
      </c>
      <c r="CM19" s="8" t="s">
        <v>161</v>
      </c>
      <c r="CO19" s="8" t="s">
        <v>161</v>
      </c>
      <c r="CQ19" s="8" t="s">
        <v>161</v>
      </c>
      <c r="CR19" s="8" t="s">
        <v>191</v>
      </c>
      <c r="CS19" s="8">
        <v>55</v>
      </c>
      <c r="CT19" s="8" t="s">
        <v>206</v>
      </c>
      <c r="CU19" s="8" t="s">
        <v>160</v>
      </c>
      <c r="CV19" s="8" t="s">
        <v>205</v>
      </c>
      <c r="CW19" s="8">
        <v>36</v>
      </c>
      <c r="CX19" s="8" t="s">
        <v>206</v>
      </c>
      <c r="CY19" s="8" t="s">
        <v>160</v>
      </c>
      <c r="CZ19" s="8" t="s">
        <v>207</v>
      </c>
      <c r="DA19" s="8">
        <v>33</v>
      </c>
      <c r="DB19" s="8" t="s">
        <v>206</v>
      </c>
      <c r="DC19" s="8" t="s">
        <v>160</v>
      </c>
      <c r="DD19" s="8" t="s">
        <v>191</v>
      </c>
      <c r="DE19" s="8" t="s">
        <v>161</v>
      </c>
    </row>
    <row r="20" spans="1:109" s="8" customFormat="1">
      <c r="A20" s="29"/>
      <c r="B20" s="11" t="str">
        <f t="shared" si="1"/>
        <v>03Asc</v>
      </c>
      <c r="C20" s="8" t="s">
        <v>224</v>
      </c>
      <c r="D20" s="20">
        <v>45380</v>
      </c>
      <c r="E20" s="8" t="s">
        <v>225</v>
      </c>
      <c r="F20" s="9">
        <v>1.5600213673750301</v>
      </c>
      <c r="G20" s="8">
        <v>75</v>
      </c>
      <c r="H20" s="8" t="s">
        <v>173</v>
      </c>
      <c r="I20" s="8" t="s">
        <v>226</v>
      </c>
      <c r="P20" s="8" t="s">
        <v>161</v>
      </c>
      <c r="Q20" s="8">
        <v>147</v>
      </c>
      <c r="R20" s="8">
        <v>59.6</v>
      </c>
      <c r="S20" s="9">
        <v>27.581099999999999</v>
      </c>
      <c r="T20" s="8" t="s">
        <v>161</v>
      </c>
      <c r="U20" s="8" t="s">
        <v>160</v>
      </c>
      <c r="V20" s="8" t="s">
        <v>187</v>
      </c>
      <c r="W20" s="8" t="s">
        <v>161</v>
      </c>
      <c r="X20" s="8" t="s">
        <v>160</v>
      </c>
      <c r="Y20" s="8" t="s">
        <v>161</v>
      </c>
      <c r="Z20" s="8" t="s">
        <v>170</v>
      </c>
      <c r="AA20" s="8" t="s">
        <v>161</v>
      </c>
      <c r="AB20" s="8" t="s">
        <v>163</v>
      </c>
      <c r="AC20" s="8" t="s">
        <v>161</v>
      </c>
      <c r="AD20" s="8" t="s">
        <v>161</v>
      </c>
      <c r="AE20" s="8" t="s">
        <v>161</v>
      </c>
      <c r="AF20" s="8" t="s">
        <v>160</v>
      </c>
      <c r="AG20" s="8" t="s">
        <v>161</v>
      </c>
      <c r="AH20" s="8" t="s">
        <v>160</v>
      </c>
      <c r="AI20" s="8" t="s">
        <v>161</v>
      </c>
      <c r="AM20" s="8" t="s">
        <v>161</v>
      </c>
      <c r="AN20" s="8" t="s">
        <v>161</v>
      </c>
      <c r="AO20" s="8" t="s">
        <v>176</v>
      </c>
      <c r="AP20" s="8" t="s">
        <v>161</v>
      </c>
      <c r="AQ20" s="8" t="s">
        <v>161</v>
      </c>
      <c r="AR20" s="8" t="s">
        <v>227</v>
      </c>
      <c r="AS20" s="8" t="s">
        <v>160</v>
      </c>
      <c r="AT20" s="8" t="s">
        <v>161</v>
      </c>
      <c r="AU20" s="8" t="s">
        <v>161</v>
      </c>
      <c r="AV20" s="8" t="s">
        <v>160</v>
      </c>
      <c r="AW20" s="8" t="s">
        <v>175</v>
      </c>
      <c r="AX20" s="8" t="s">
        <v>161</v>
      </c>
      <c r="AZ20" s="8" t="s">
        <v>160</v>
      </c>
      <c r="BA20" s="8" t="s">
        <v>228</v>
      </c>
      <c r="BB20" s="8" t="s">
        <v>174</v>
      </c>
      <c r="BC20" s="8" t="s">
        <v>174</v>
      </c>
      <c r="BD20" s="8" t="s">
        <v>161</v>
      </c>
      <c r="BK20" s="8" t="s">
        <v>161</v>
      </c>
      <c r="BM20" s="8" t="s">
        <v>161</v>
      </c>
      <c r="BO20" s="8" t="s">
        <v>199</v>
      </c>
      <c r="BQ20" s="8" t="s">
        <v>199</v>
      </c>
      <c r="CI20" s="8" t="s">
        <v>229</v>
      </c>
      <c r="CJ20" s="8" t="s">
        <v>161</v>
      </c>
      <c r="CK20" s="8" t="s">
        <v>161</v>
      </c>
      <c r="CM20" s="8" t="s">
        <v>161</v>
      </c>
      <c r="CO20" s="8" t="s">
        <v>161</v>
      </c>
      <c r="CQ20" s="8" t="s">
        <v>161</v>
      </c>
      <c r="CR20" s="8" t="s">
        <v>213</v>
      </c>
      <c r="CS20" s="8">
        <v>59</v>
      </c>
      <c r="CT20" s="8" t="s">
        <v>206</v>
      </c>
      <c r="CU20" s="8" t="s">
        <v>160</v>
      </c>
      <c r="CV20" s="8" t="s">
        <v>205</v>
      </c>
      <c r="CW20" s="8">
        <v>51</v>
      </c>
      <c r="CX20" s="8" t="s">
        <v>206</v>
      </c>
      <c r="CY20" s="8" t="s">
        <v>160</v>
      </c>
      <c r="CZ20" s="8" t="s">
        <v>214</v>
      </c>
      <c r="DA20" s="8">
        <v>40</v>
      </c>
      <c r="DB20" s="8" t="s">
        <v>206</v>
      </c>
      <c r="DC20" s="8" t="s">
        <v>160</v>
      </c>
      <c r="DD20" s="8" t="s">
        <v>191</v>
      </c>
      <c r="DE20" s="8" t="s">
        <v>161</v>
      </c>
    </row>
    <row r="21" spans="1:109" s="8" customFormat="1">
      <c r="A21" s="29"/>
      <c r="B21" s="11" t="str">
        <f t="shared" si="1"/>
        <v>03Asc</v>
      </c>
      <c r="C21" s="8" t="s">
        <v>230</v>
      </c>
      <c r="D21" s="20">
        <v>45398</v>
      </c>
      <c r="E21" s="8" t="s">
        <v>231</v>
      </c>
      <c r="F21" s="9">
        <v>2.14900299880872</v>
      </c>
      <c r="G21" s="8">
        <v>66</v>
      </c>
      <c r="H21" s="8" t="s">
        <v>173</v>
      </c>
      <c r="I21" s="8" t="s">
        <v>160</v>
      </c>
      <c r="J21" s="8" t="s">
        <v>160</v>
      </c>
      <c r="P21" s="8" t="s">
        <v>161</v>
      </c>
      <c r="Q21" s="8">
        <v>165.1</v>
      </c>
      <c r="R21" s="8">
        <v>100.7</v>
      </c>
      <c r="S21" s="9">
        <v>36.943260000000002</v>
      </c>
      <c r="T21" s="8" t="s">
        <v>161</v>
      </c>
      <c r="U21" s="8" t="s">
        <v>161</v>
      </c>
      <c r="W21" s="8" t="s">
        <v>161</v>
      </c>
      <c r="X21" s="8" t="s">
        <v>160</v>
      </c>
      <c r="Y21" s="8" t="s">
        <v>161</v>
      </c>
      <c r="Z21" s="8" t="s">
        <v>162</v>
      </c>
      <c r="AA21" s="8" t="s">
        <v>161</v>
      </c>
      <c r="AB21" s="8" t="s">
        <v>161</v>
      </c>
      <c r="AC21" s="8" t="s">
        <v>161</v>
      </c>
      <c r="AD21" s="8" t="s">
        <v>161</v>
      </c>
      <c r="AE21" s="8" t="s">
        <v>161</v>
      </c>
      <c r="AF21" s="8" t="s">
        <v>161</v>
      </c>
      <c r="AG21" s="8" t="s">
        <v>161</v>
      </c>
      <c r="AH21" s="8" t="s">
        <v>161</v>
      </c>
      <c r="AI21" s="8" t="s">
        <v>161</v>
      </c>
      <c r="AM21" s="8" t="s">
        <v>161</v>
      </c>
      <c r="AN21" s="8" t="s">
        <v>161</v>
      </c>
      <c r="AO21" s="8" t="s">
        <v>176</v>
      </c>
      <c r="AP21" s="8" t="s">
        <v>161</v>
      </c>
      <c r="AQ21" s="8" t="s">
        <v>161</v>
      </c>
      <c r="AR21" s="8" t="s">
        <v>160</v>
      </c>
      <c r="AS21" s="8" t="s">
        <v>160</v>
      </c>
      <c r="AT21" s="8" t="s">
        <v>161</v>
      </c>
      <c r="AU21" s="8" t="s">
        <v>161</v>
      </c>
      <c r="AV21" s="8" t="s">
        <v>160</v>
      </c>
      <c r="AW21" s="8" t="s">
        <v>175</v>
      </c>
      <c r="AX21" s="8" t="s">
        <v>161</v>
      </c>
      <c r="AZ21" s="8" t="s">
        <v>160</v>
      </c>
      <c r="BA21" s="8" t="s">
        <v>232</v>
      </c>
      <c r="BB21" s="8" t="s">
        <v>174</v>
      </c>
      <c r="BC21" s="8" t="s">
        <v>174</v>
      </c>
      <c r="BD21" s="8" t="s">
        <v>161</v>
      </c>
      <c r="BK21" s="8" t="s">
        <v>161</v>
      </c>
      <c r="BM21" s="8" t="s">
        <v>161</v>
      </c>
      <c r="BO21" s="8" t="s">
        <v>199</v>
      </c>
      <c r="BQ21" s="8" t="s">
        <v>189</v>
      </c>
      <c r="BR21" s="8" t="s">
        <v>211</v>
      </c>
      <c r="BS21" s="8" t="s">
        <v>190</v>
      </c>
      <c r="BT21" s="8" t="s">
        <v>161</v>
      </c>
      <c r="BV21" s="8" t="s">
        <v>191</v>
      </c>
      <c r="CJ21" s="8" t="s">
        <v>161</v>
      </c>
      <c r="CK21" s="8" t="s">
        <v>161</v>
      </c>
      <c r="CM21" s="8" t="s">
        <v>161</v>
      </c>
      <c r="CO21" s="8" t="s">
        <v>161</v>
      </c>
      <c r="CQ21" s="8" t="s">
        <v>161</v>
      </c>
      <c r="CR21" s="8" t="s">
        <v>191</v>
      </c>
      <c r="CS21" s="8">
        <v>55</v>
      </c>
      <c r="CT21" s="8" t="s">
        <v>192</v>
      </c>
      <c r="CU21" s="8" t="s">
        <v>160</v>
      </c>
      <c r="CV21" s="8" t="s">
        <v>205</v>
      </c>
      <c r="CW21" s="8">
        <v>32</v>
      </c>
      <c r="CX21" s="8" t="s">
        <v>192</v>
      </c>
      <c r="CY21" s="8" t="s">
        <v>160</v>
      </c>
      <c r="CZ21" s="8" t="s">
        <v>207</v>
      </c>
      <c r="DA21" s="8">
        <v>31</v>
      </c>
      <c r="DB21" s="8" t="s">
        <v>192</v>
      </c>
      <c r="DC21" s="8" t="s">
        <v>160</v>
      </c>
      <c r="DD21" s="8" t="s">
        <v>191</v>
      </c>
      <c r="DE21" s="8" t="s">
        <v>161</v>
      </c>
    </row>
    <row r="22" spans="1:109" s="8" customFormat="1">
      <c r="A22" s="29"/>
      <c r="B22" s="11" t="str">
        <f t="shared" si="1"/>
        <v>03Asc</v>
      </c>
      <c r="C22" s="8" t="s">
        <v>233</v>
      </c>
      <c r="D22" s="20">
        <v>45405</v>
      </c>
      <c r="E22" s="8" t="s">
        <v>234</v>
      </c>
      <c r="F22" s="9">
        <v>1.6983652270476</v>
      </c>
      <c r="G22" s="8">
        <v>44</v>
      </c>
      <c r="H22" s="8" t="s">
        <v>173</v>
      </c>
      <c r="I22" s="8" t="s">
        <v>160</v>
      </c>
      <c r="J22" s="8" t="s">
        <v>160</v>
      </c>
      <c r="P22" s="8" t="s">
        <v>161</v>
      </c>
      <c r="Q22" s="8">
        <v>160</v>
      </c>
      <c r="R22" s="8">
        <v>64.900000000000006</v>
      </c>
      <c r="S22" s="9">
        <v>25.351559999999999</v>
      </c>
      <c r="T22" s="8" t="s">
        <v>161</v>
      </c>
      <c r="U22" s="8" t="s">
        <v>161</v>
      </c>
      <c r="W22" s="8" t="s">
        <v>161</v>
      </c>
      <c r="X22" s="8" t="s">
        <v>160</v>
      </c>
      <c r="Y22" s="8" t="s">
        <v>161</v>
      </c>
      <c r="Z22" s="8" t="s">
        <v>162</v>
      </c>
      <c r="AA22" s="8" t="s">
        <v>160</v>
      </c>
      <c r="AB22" s="8" t="s">
        <v>161</v>
      </c>
      <c r="AC22" s="8" t="s">
        <v>161</v>
      </c>
      <c r="AD22" s="8" t="s">
        <v>161</v>
      </c>
      <c r="AE22" s="8" t="s">
        <v>161</v>
      </c>
      <c r="AF22" s="8" t="s">
        <v>161</v>
      </c>
      <c r="AG22" s="8" t="s">
        <v>161</v>
      </c>
      <c r="AH22" s="8" t="s">
        <v>161</v>
      </c>
      <c r="AI22" s="8" t="s">
        <v>161</v>
      </c>
      <c r="AM22" s="8" t="s">
        <v>161</v>
      </c>
      <c r="AN22" s="8" t="s">
        <v>161</v>
      </c>
      <c r="AO22" s="8" t="s">
        <v>176</v>
      </c>
      <c r="AP22" s="8" t="s">
        <v>161</v>
      </c>
      <c r="AQ22" s="8" t="s">
        <v>161</v>
      </c>
      <c r="AR22" s="8" t="s">
        <v>160</v>
      </c>
      <c r="AS22" s="8" t="s">
        <v>161</v>
      </c>
      <c r="AT22" s="8" t="s">
        <v>161</v>
      </c>
      <c r="AU22" s="8" t="s">
        <v>161</v>
      </c>
      <c r="AV22" s="8" t="s">
        <v>161</v>
      </c>
      <c r="AX22" s="8" t="s">
        <v>161</v>
      </c>
      <c r="AZ22" s="8" t="s">
        <v>161</v>
      </c>
      <c r="BA22" s="8" t="s">
        <v>222</v>
      </c>
      <c r="BB22" s="8" t="s">
        <v>174</v>
      </c>
      <c r="BC22" s="8" t="s">
        <v>174</v>
      </c>
      <c r="BD22" s="8" t="s">
        <v>161</v>
      </c>
      <c r="BK22" s="8" t="s">
        <v>161</v>
      </c>
      <c r="BM22" s="8" t="s">
        <v>161</v>
      </c>
      <c r="BO22" s="8" t="s">
        <v>188</v>
      </c>
      <c r="BQ22" s="8" t="s">
        <v>189</v>
      </c>
      <c r="BR22" s="8" t="s">
        <v>174</v>
      </c>
      <c r="BS22" s="8" t="s">
        <v>190</v>
      </c>
      <c r="BT22" s="8" t="s">
        <v>161</v>
      </c>
      <c r="BV22" s="8" t="s">
        <v>212</v>
      </c>
      <c r="CJ22" s="8" t="s">
        <v>161</v>
      </c>
      <c r="CK22" s="8" t="s">
        <v>161</v>
      </c>
      <c r="CM22" s="8" t="s">
        <v>161</v>
      </c>
      <c r="CO22" s="8" t="s">
        <v>161</v>
      </c>
      <c r="CQ22" s="8" t="s">
        <v>161</v>
      </c>
      <c r="CR22" s="8" t="s">
        <v>213</v>
      </c>
      <c r="CS22" s="8">
        <v>50</v>
      </c>
      <c r="CT22" s="8" t="s">
        <v>192</v>
      </c>
      <c r="CU22" s="8" t="s">
        <v>160</v>
      </c>
      <c r="CV22" s="8" t="s">
        <v>205</v>
      </c>
      <c r="CW22" s="8">
        <v>32</v>
      </c>
      <c r="CX22" s="8" t="s">
        <v>192</v>
      </c>
      <c r="CY22" s="8" t="s">
        <v>160</v>
      </c>
      <c r="CZ22" s="8" t="s">
        <v>207</v>
      </c>
      <c r="DA22" s="8">
        <v>28</v>
      </c>
      <c r="DB22" s="8" t="s">
        <v>192</v>
      </c>
      <c r="DC22" s="8" t="s">
        <v>160</v>
      </c>
      <c r="DD22" s="8" t="s">
        <v>191</v>
      </c>
      <c r="DE22" s="8" t="s">
        <v>161</v>
      </c>
    </row>
    <row r="23" spans="1:109" s="8" customFormat="1">
      <c r="A23" s="29"/>
      <c r="B23" s="11" t="str">
        <f t="shared" si="1"/>
        <v>03Asc</v>
      </c>
      <c r="C23" s="8" t="s">
        <v>235</v>
      </c>
      <c r="D23" s="20">
        <v>45406</v>
      </c>
      <c r="E23" s="8" t="s">
        <v>234</v>
      </c>
      <c r="F23" s="9">
        <v>1.8383129343080999</v>
      </c>
      <c r="G23" s="8">
        <v>73</v>
      </c>
      <c r="H23" s="8" t="s">
        <v>173</v>
      </c>
      <c r="I23" s="8" t="s">
        <v>160</v>
      </c>
      <c r="J23" s="8" t="s">
        <v>160</v>
      </c>
      <c r="P23" s="8" t="s">
        <v>161</v>
      </c>
      <c r="Q23" s="8">
        <v>175.3</v>
      </c>
      <c r="R23" s="8">
        <v>69.400000000000006</v>
      </c>
      <c r="S23" s="9">
        <v>22.58372</v>
      </c>
      <c r="T23" s="8" t="s">
        <v>161</v>
      </c>
      <c r="U23" s="8" t="s">
        <v>161</v>
      </c>
      <c r="W23" s="8" t="s">
        <v>161</v>
      </c>
      <c r="X23" s="8" t="s">
        <v>161</v>
      </c>
      <c r="Y23" s="8" t="s">
        <v>161</v>
      </c>
      <c r="Z23" s="8" t="s">
        <v>170</v>
      </c>
      <c r="AA23" s="8" t="s">
        <v>161</v>
      </c>
      <c r="AB23" s="8" t="s">
        <v>161</v>
      </c>
      <c r="AC23" s="8" t="s">
        <v>161</v>
      </c>
      <c r="AD23" s="8" t="s">
        <v>161</v>
      </c>
      <c r="AE23" s="8" t="s">
        <v>161</v>
      </c>
      <c r="AF23" s="8" t="s">
        <v>161</v>
      </c>
      <c r="AG23" s="8" t="s">
        <v>161</v>
      </c>
      <c r="AH23" s="8" t="s">
        <v>161</v>
      </c>
      <c r="AI23" s="8" t="s">
        <v>161</v>
      </c>
      <c r="AM23" s="8" t="s">
        <v>161</v>
      </c>
      <c r="AN23" s="8" t="s">
        <v>161</v>
      </c>
      <c r="AO23" s="8" t="s">
        <v>176</v>
      </c>
      <c r="AP23" s="8" t="s">
        <v>161</v>
      </c>
      <c r="AQ23" s="8" t="s">
        <v>161</v>
      </c>
      <c r="AR23" s="8" t="s">
        <v>160</v>
      </c>
      <c r="AS23" s="8" t="s">
        <v>161</v>
      </c>
      <c r="AT23" s="8" t="s">
        <v>161</v>
      </c>
      <c r="AU23" s="8" t="s">
        <v>161</v>
      </c>
      <c r="AV23" s="8" t="s">
        <v>160</v>
      </c>
      <c r="AW23" s="8" t="s">
        <v>204</v>
      </c>
      <c r="AX23" s="8" t="s">
        <v>161</v>
      </c>
      <c r="AZ23" s="8" t="s">
        <v>160</v>
      </c>
      <c r="BA23" s="8" t="s">
        <v>176</v>
      </c>
      <c r="BB23" s="8" t="s">
        <v>189</v>
      </c>
      <c r="BC23" s="8" t="s">
        <v>174</v>
      </c>
      <c r="BD23" s="8" t="s">
        <v>161</v>
      </c>
      <c r="BK23" s="8" t="s">
        <v>161</v>
      </c>
      <c r="BM23" s="8" t="s">
        <v>161</v>
      </c>
      <c r="BO23" s="8" t="s">
        <v>188</v>
      </c>
      <c r="BQ23" s="8" t="s">
        <v>189</v>
      </c>
      <c r="BR23" s="8" t="s">
        <v>174</v>
      </c>
      <c r="BS23" s="8" t="s">
        <v>190</v>
      </c>
      <c r="BT23" s="8" t="s">
        <v>161</v>
      </c>
      <c r="BV23" s="8" t="s">
        <v>191</v>
      </c>
      <c r="CJ23" s="8" t="s">
        <v>161</v>
      </c>
      <c r="CK23" s="8" t="s">
        <v>161</v>
      </c>
      <c r="CM23" s="8" t="s">
        <v>161</v>
      </c>
      <c r="CO23" s="8" t="s">
        <v>161</v>
      </c>
      <c r="CQ23" s="8" t="s">
        <v>161</v>
      </c>
      <c r="CR23" s="8" t="s">
        <v>191</v>
      </c>
      <c r="CS23" s="8">
        <v>49</v>
      </c>
      <c r="CT23" s="8" t="s">
        <v>206</v>
      </c>
      <c r="CU23" s="8" t="s">
        <v>160</v>
      </c>
      <c r="CV23" s="8" t="s">
        <v>205</v>
      </c>
      <c r="CW23" s="8">
        <v>41</v>
      </c>
      <c r="CX23" s="8" t="s">
        <v>206</v>
      </c>
      <c r="CY23" s="8" t="s">
        <v>160</v>
      </c>
      <c r="CZ23" s="8" t="s">
        <v>214</v>
      </c>
      <c r="DA23" s="8">
        <v>34</v>
      </c>
      <c r="DB23" s="8" t="s">
        <v>206</v>
      </c>
      <c r="DC23" s="8" t="s">
        <v>160</v>
      </c>
      <c r="DD23" s="8" t="s">
        <v>191</v>
      </c>
      <c r="DE23" s="8" t="s">
        <v>161</v>
      </c>
    </row>
    <row r="24" spans="1:109" s="8" customFormat="1">
      <c r="A24" s="29"/>
      <c r="B24" s="17" t="s">
        <v>236</v>
      </c>
      <c r="C24" s="10" t="s">
        <v>30</v>
      </c>
      <c r="D24" s="20">
        <v>45356</v>
      </c>
      <c r="E24" s="8" t="s">
        <v>237</v>
      </c>
      <c r="F24" s="9">
        <v>2.13816575077279</v>
      </c>
      <c r="G24" s="8">
        <v>40</v>
      </c>
      <c r="H24" s="8" t="s">
        <v>159</v>
      </c>
      <c r="I24" s="8" t="s">
        <v>160</v>
      </c>
      <c r="J24" s="8" t="s">
        <v>160</v>
      </c>
      <c r="P24" s="8" t="s">
        <v>161</v>
      </c>
      <c r="Q24" s="8">
        <v>172.7</v>
      </c>
      <c r="R24" s="8">
        <v>95.3</v>
      </c>
      <c r="S24" s="9">
        <v>31.952739999999999</v>
      </c>
      <c r="T24" s="8" t="s">
        <v>160</v>
      </c>
      <c r="U24" s="8" t="s">
        <v>161</v>
      </c>
      <c r="W24" s="8" t="s">
        <v>161</v>
      </c>
      <c r="X24" s="8" t="s">
        <v>161</v>
      </c>
      <c r="Y24" s="8" t="s">
        <v>161</v>
      </c>
      <c r="Z24" s="8" t="s">
        <v>170</v>
      </c>
      <c r="AA24" s="8" t="s">
        <v>161</v>
      </c>
      <c r="AB24" s="8" t="s">
        <v>161</v>
      </c>
      <c r="AC24" s="8" t="s">
        <v>161</v>
      </c>
      <c r="AD24" s="8" t="s">
        <v>161</v>
      </c>
      <c r="AE24" s="8" t="s">
        <v>161</v>
      </c>
      <c r="AF24" s="8" t="s">
        <v>161</v>
      </c>
      <c r="AG24" s="8" t="s">
        <v>161</v>
      </c>
      <c r="AH24" s="8" t="s">
        <v>161</v>
      </c>
      <c r="AI24" s="8" t="s">
        <v>161</v>
      </c>
      <c r="AM24" s="8" t="s">
        <v>161</v>
      </c>
      <c r="AN24" s="8" t="s">
        <v>161</v>
      </c>
      <c r="AO24" s="8" t="s">
        <v>176</v>
      </c>
      <c r="AP24" s="8" t="s">
        <v>161</v>
      </c>
      <c r="AQ24" s="8" t="s">
        <v>161</v>
      </c>
      <c r="AR24" s="8" t="s">
        <v>161</v>
      </c>
      <c r="AS24" s="8" t="s">
        <v>161</v>
      </c>
      <c r="AT24" s="8" t="s">
        <v>161</v>
      </c>
      <c r="AU24" s="8" t="s">
        <v>161</v>
      </c>
      <c r="AV24" s="8" t="s">
        <v>160</v>
      </c>
      <c r="AW24" s="8" t="s">
        <v>166</v>
      </c>
      <c r="AX24" s="8" t="s">
        <v>160</v>
      </c>
      <c r="AY24" s="8" t="s">
        <v>197</v>
      </c>
      <c r="AZ24" s="8" t="s">
        <v>160</v>
      </c>
      <c r="BA24" s="8" t="s">
        <v>198</v>
      </c>
      <c r="BB24" s="8" t="s">
        <v>174</v>
      </c>
      <c r="BC24" s="8" t="s">
        <v>174</v>
      </c>
      <c r="BD24" s="8" t="s">
        <v>161</v>
      </c>
      <c r="BK24" s="8" t="s">
        <v>161</v>
      </c>
      <c r="BM24" s="8" t="s">
        <v>161</v>
      </c>
      <c r="BO24" s="8" t="s">
        <v>199</v>
      </c>
      <c r="BQ24" s="8" t="s">
        <v>189</v>
      </c>
      <c r="BR24" s="8" t="s">
        <v>174</v>
      </c>
      <c r="BS24" s="8" t="s">
        <v>190</v>
      </c>
      <c r="BT24" s="8" t="s">
        <v>161</v>
      </c>
      <c r="BV24" s="8" t="s">
        <v>191</v>
      </c>
      <c r="CJ24" s="8" t="s">
        <v>161</v>
      </c>
      <c r="CK24" s="8" t="s">
        <v>161</v>
      </c>
      <c r="CM24" s="8" t="s">
        <v>161</v>
      </c>
      <c r="CO24" s="8" t="s">
        <v>161</v>
      </c>
      <c r="CQ24" s="8" t="s">
        <v>161</v>
      </c>
      <c r="CR24" s="8" t="s">
        <v>191</v>
      </c>
      <c r="CS24" s="8">
        <v>30</v>
      </c>
      <c r="CT24" s="8" t="s">
        <v>206</v>
      </c>
      <c r="CU24" s="8" t="s">
        <v>160</v>
      </c>
      <c r="CV24" s="8" t="s">
        <v>205</v>
      </c>
      <c r="CW24" s="8">
        <v>35</v>
      </c>
      <c r="CX24" s="8" t="s">
        <v>206</v>
      </c>
      <c r="CY24" s="8" t="s">
        <v>161</v>
      </c>
      <c r="DC24" s="8" t="s">
        <v>160</v>
      </c>
      <c r="DD24" s="8" t="s">
        <v>191</v>
      </c>
      <c r="DE24" s="8" t="s">
        <v>161</v>
      </c>
    </row>
    <row r="25" spans="1:109" s="24" customFormat="1">
      <c r="B25" s="27"/>
      <c r="C25" s="28"/>
      <c r="D25" s="26"/>
    </row>
    <row r="26" spans="1:109" s="8" customFormat="1">
      <c r="A26" s="30" t="s">
        <v>238</v>
      </c>
      <c r="B26" s="11" t="str">
        <f>LEFT(C26,FIND("-",C26)-1)</f>
        <v>02Asc</v>
      </c>
      <c r="C26" s="8" t="s">
        <v>21</v>
      </c>
      <c r="D26" s="20">
        <v>44949</v>
      </c>
      <c r="E26" s="8" t="s">
        <v>239</v>
      </c>
      <c r="F26" s="9">
        <v>2.1327720615824499</v>
      </c>
      <c r="G26" s="8">
        <v>73</v>
      </c>
      <c r="H26" s="8" t="s">
        <v>159</v>
      </c>
      <c r="I26" s="8" t="s">
        <v>160</v>
      </c>
      <c r="J26" s="8" t="s">
        <v>160</v>
      </c>
      <c r="P26" s="8" t="s">
        <v>161</v>
      </c>
      <c r="Q26" s="8">
        <v>177.8</v>
      </c>
      <c r="R26" s="8">
        <v>92.1</v>
      </c>
      <c r="S26" s="9">
        <v>29.13373</v>
      </c>
      <c r="T26" s="8" t="s">
        <v>161</v>
      </c>
      <c r="U26" s="8" t="s">
        <v>161</v>
      </c>
      <c r="W26" s="8" t="s">
        <v>161</v>
      </c>
      <c r="X26" s="8" t="s">
        <v>160</v>
      </c>
      <c r="Y26" s="8" t="s">
        <v>161</v>
      </c>
      <c r="Z26" s="8" t="s">
        <v>170</v>
      </c>
      <c r="AA26" s="8" t="s">
        <v>161</v>
      </c>
      <c r="AB26" s="8" t="s">
        <v>161</v>
      </c>
      <c r="AC26" s="8" t="s">
        <v>161</v>
      </c>
      <c r="AD26" s="8" t="s">
        <v>161</v>
      </c>
      <c r="AE26" s="8" t="s">
        <v>161</v>
      </c>
      <c r="AF26" s="8" t="s">
        <v>161</v>
      </c>
      <c r="AG26" s="8" t="s">
        <v>161</v>
      </c>
      <c r="AH26" s="8" t="s">
        <v>161</v>
      </c>
      <c r="AI26" s="8" t="s">
        <v>161</v>
      </c>
      <c r="AM26" s="8" t="s">
        <v>161</v>
      </c>
      <c r="AN26" s="8" t="s">
        <v>161</v>
      </c>
      <c r="AO26" s="8" t="s">
        <v>176</v>
      </c>
      <c r="AP26" s="8" t="s">
        <v>161</v>
      </c>
      <c r="AQ26" s="8" t="s">
        <v>161</v>
      </c>
      <c r="AR26" s="8" t="s">
        <v>161</v>
      </c>
      <c r="AS26" s="8" t="s">
        <v>161</v>
      </c>
      <c r="AT26" s="8" t="s">
        <v>161</v>
      </c>
      <c r="AU26" s="8" t="s">
        <v>161</v>
      </c>
      <c r="AV26" s="8" t="s">
        <v>160</v>
      </c>
      <c r="AW26" s="8" t="s">
        <v>197</v>
      </c>
      <c r="AX26" s="8" t="s">
        <v>160</v>
      </c>
      <c r="AY26" s="8" t="s">
        <v>197</v>
      </c>
      <c r="AZ26" s="8" t="s">
        <v>160</v>
      </c>
      <c r="BA26" s="8" t="s">
        <v>240</v>
      </c>
      <c r="BB26" s="8" t="s">
        <v>187</v>
      </c>
      <c r="BC26" s="8" t="s">
        <v>241</v>
      </c>
      <c r="BD26" s="8" t="s">
        <v>161</v>
      </c>
      <c r="BK26" s="8" t="s">
        <v>161</v>
      </c>
      <c r="BM26" s="8" t="s">
        <v>161</v>
      </c>
      <c r="BO26" s="8" t="s">
        <v>188</v>
      </c>
      <c r="BQ26" s="8" t="s">
        <v>189</v>
      </c>
      <c r="BR26" s="8" t="s">
        <v>241</v>
      </c>
      <c r="BS26" s="8" t="s">
        <v>190</v>
      </c>
      <c r="BT26" s="8" t="s">
        <v>161</v>
      </c>
      <c r="BV26" s="8" t="s">
        <v>191</v>
      </c>
      <c r="CJ26" s="8" t="s">
        <v>161</v>
      </c>
      <c r="CK26" s="8" t="s">
        <v>161</v>
      </c>
      <c r="CM26" s="8" t="s">
        <v>161</v>
      </c>
      <c r="CO26" s="8" t="s">
        <v>161</v>
      </c>
      <c r="CQ26" s="8" t="s">
        <v>161</v>
      </c>
      <c r="CR26" s="8" t="s">
        <v>191</v>
      </c>
      <c r="CS26" s="8">
        <v>44</v>
      </c>
      <c r="CT26" s="8" t="s">
        <v>206</v>
      </c>
      <c r="CU26" s="8" t="s">
        <v>160</v>
      </c>
      <c r="CV26" s="8" t="s">
        <v>205</v>
      </c>
      <c r="CW26" s="8">
        <v>39</v>
      </c>
      <c r="CX26" s="8" t="s">
        <v>206</v>
      </c>
      <c r="CY26" s="8" t="s">
        <v>161</v>
      </c>
      <c r="DC26" s="8" t="s">
        <v>160</v>
      </c>
      <c r="DD26" s="8" t="s">
        <v>191</v>
      </c>
      <c r="DE26" s="8" t="s">
        <v>161</v>
      </c>
    </row>
    <row r="27" spans="1:109" s="8" customFormat="1">
      <c r="A27" s="30"/>
      <c r="B27" s="11" t="str">
        <f>LEFT(C27,FIND("-",C27)-1)</f>
        <v>03Asc</v>
      </c>
      <c r="C27" s="8" t="s">
        <v>242</v>
      </c>
      <c r="D27" s="20">
        <v>44953</v>
      </c>
      <c r="E27" s="8" t="s">
        <v>243</v>
      </c>
      <c r="F27" s="9">
        <v>1.7659432481129</v>
      </c>
      <c r="G27" s="8">
        <v>61</v>
      </c>
      <c r="H27" s="8" t="s">
        <v>159</v>
      </c>
      <c r="I27" s="8" t="s">
        <v>160</v>
      </c>
      <c r="J27" s="8" t="s">
        <v>160</v>
      </c>
      <c r="P27" s="8" t="s">
        <v>161</v>
      </c>
      <c r="Q27" s="8">
        <v>165.1</v>
      </c>
      <c r="R27" s="8">
        <v>68</v>
      </c>
      <c r="S27" s="9">
        <v>24.94679</v>
      </c>
      <c r="T27" s="8" t="s">
        <v>161</v>
      </c>
      <c r="U27" s="8" t="s">
        <v>161</v>
      </c>
      <c r="W27" s="8" t="s">
        <v>161</v>
      </c>
      <c r="X27" s="8" t="s">
        <v>160</v>
      </c>
      <c r="Y27" s="8" t="s">
        <v>161</v>
      </c>
      <c r="Z27" s="8" t="s">
        <v>162</v>
      </c>
      <c r="AA27" s="8" t="s">
        <v>161</v>
      </c>
      <c r="AB27" s="8" t="s">
        <v>161</v>
      </c>
      <c r="AC27" s="8" t="s">
        <v>161</v>
      </c>
      <c r="AD27" s="8" t="s">
        <v>161</v>
      </c>
      <c r="AE27" s="8" t="s">
        <v>161</v>
      </c>
      <c r="AF27" s="8" t="s">
        <v>161</v>
      </c>
      <c r="AG27" s="8" t="s">
        <v>161</v>
      </c>
      <c r="AH27" s="8" t="s">
        <v>161</v>
      </c>
      <c r="AI27" s="8" t="s">
        <v>161</v>
      </c>
      <c r="AM27" s="8" t="s">
        <v>161</v>
      </c>
      <c r="AN27" s="8" t="s">
        <v>160</v>
      </c>
      <c r="AO27" s="8" t="s">
        <v>176</v>
      </c>
      <c r="AP27" s="8" t="s">
        <v>161</v>
      </c>
      <c r="AQ27" s="8" t="s">
        <v>161</v>
      </c>
      <c r="AR27" s="8" t="s">
        <v>160</v>
      </c>
      <c r="AS27" s="8" t="s">
        <v>160</v>
      </c>
      <c r="AT27" s="8" t="s">
        <v>161</v>
      </c>
      <c r="AU27" s="8" t="s">
        <v>161</v>
      </c>
      <c r="AV27" s="8" t="s">
        <v>160</v>
      </c>
      <c r="AW27" s="8" t="s">
        <v>175</v>
      </c>
      <c r="AX27" s="8" t="s">
        <v>161</v>
      </c>
      <c r="AZ27" s="8" t="s">
        <v>160</v>
      </c>
      <c r="BA27" s="8" t="s">
        <v>244</v>
      </c>
      <c r="BB27" s="8" t="s">
        <v>245</v>
      </c>
      <c r="BC27" s="8" t="s">
        <v>174</v>
      </c>
      <c r="BD27" s="8" t="s">
        <v>161</v>
      </c>
      <c r="BK27" s="8" t="s">
        <v>161</v>
      </c>
      <c r="BM27" s="8" t="s">
        <v>161</v>
      </c>
      <c r="BO27" s="8" t="s">
        <v>188</v>
      </c>
      <c r="BQ27" s="8" t="s">
        <v>189</v>
      </c>
      <c r="BR27" s="8" t="s">
        <v>246</v>
      </c>
      <c r="BS27" s="8" t="s">
        <v>190</v>
      </c>
      <c r="BT27" s="8" t="s">
        <v>161</v>
      </c>
      <c r="BV27" s="8" t="s">
        <v>191</v>
      </c>
      <c r="CJ27" s="8" t="s">
        <v>174</v>
      </c>
      <c r="CK27" s="8" t="s">
        <v>161</v>
      </c>
      <c r="CM27" s="8" t="s">
        <v>161</v>
      </c>
      <c r="CO27" s="8" t="s">
        <v>161</v>
      </c>
      <c r="CQ27" s="8" t="s">
        <v>161</v>
      </c>
      <c r="CR27" s="8" t="s">
        <v>191</v>
      </c>
      <c r="CS27" s="8">
        <v>52</v>
      </c>
      <c r="CT27" s="8" t="s">
        <v>192</v>
      </c>
      <c r="CU27" s="8" t="s">
        <v>160</v>
      </c>
      <c r="CV27" s="8" t="s">
        <v>205</v>
      </c>
      <c r="CW27" s="8">
        <v>56</v>
      </c>
      <c r="CX27" s="8" t="s">
        <v>192</v>
      </c>
      <c r="CY27" s="8" t="s">
        <v>160</v>
      </c>
      <c r="CZ27" s="8" t="s">
        <v>247</v>
      </c>
      <c r="DA27" s="8">
        <v>35</v>
      </c>
      <c r="DB27" s="8" t="s">
        <v>192</v>
      </c>
      <c r="DC27" s="8" t="s">
        <v>160</v>
      </c>
      <c r="DD27" s="8" t="s">
        <v>191</v>
      </c>
      <c r="DE27" s="8" t="s">
        <v>161</v>
      </c>
    </row>
    <row r="28" spans="1:109" s="8" customFormat="1">
      <c r="A28" s="30"/>
      <c r="B28" s="11" t="str">
        <f>LEFT(C28,FIND("-",C28)-1)</f>
        <v>02Asc</v>
      </c>
      <c r="C28" s="8" t="s">
        <v>27</v>
      </c>
      <c r="D28" s="20">
        <v>45086</v>
      </c>
      <c r="E28" s="8" t="s">
        <v>248</v>
      </c>
      <c r="F28" s="9">
        <v>1.5677301355073101</v>
      </c>
      <c r="G28" s="8">
        <v>64</v>
      </c>
      <c r="H28" s="8" t="s">
        <v>173</v>
      </c>
      <c r="I28" s="8" t="s">
        <v>160</v>
      </c>
      <c r="J28" s="8" t="s">
        <v>160</v>
      </c>
      <c r="P28" s="8" t="s">
        <v>161</v>
      </c>
      <c r="Q28" s="8">
        <v>160</v>
      </c>
      <c r="R28" s="8">
        <v>55.3</v>
      </c>
      <c r="S28" s="9">
        <v>21.601559999999999</v>
      </c>
      <c r="T28" s="8" t="s">
        <v>161</v>
      </c>
      <c r="U28" s="8" t="s">
        <v>161</v>
      </c>
      <c r="W28" s="8" t="s">
        <v>161</v>
      </c>
      <c r="X28" s="8" t="s">
        <v>161</v>
      </c>
      <c r="Y28" s="8" t="s">
        <v>161</v>
      </c>
      <c r="Z28" s="8" t="s">
        <v>162</v>
      </c>
      <c r="AA28" s="8" t="s">
        <v>161</v>
      </c>
      <c r="AB28" s="8" t="s">
        <v>161</v>
      </c>
      <c r="AC28" s="8" t="s">
        <v>161</v>
      </c>
      <c r="AD28" s="8" t="s">
        <v>161</v>
      </c>
      <c r="AE28" s="8" t="s">
        <v>161</v>
      </c>
      <c r="AF28" s="8" t="s">
        <v>161</v>
      </c>
      <c r="AG28" s="8" t="s">
        <v>161</v>
      </c>
      <c r="AH28" s="8" t="s">
        <v>161</v>
      </c>
      <c r="AI28" s="8" t="s">
        <v>160</v>
      </c>
      <c r="AJ28" s="8" t="s">
        <v>161</v>
      </c>
      <c r="AK28" s="8" t="s">
        <v>160</v>
      </c>
      <c r="AL28" s="8" t="s">
        <v>161</v>
      </c>
      <c r="AM28" s="8" t="s">
        <v>161</v>
      </c>
      <c r="AN28" s="8" t="s">
        <v>161</v>
      </c>
      <c r="AO28" s="8" t="s">
        <v>176</v>
      </c>
      <c r="AP28" s="8" t="s">
        <v>161</v>
      </c>
      <c r="AQ28" s="8" t="s">
        <v>161</v>
      </c>
      <c r="AR28" s="8" t="s">
        <v>161</v>
      </c>
      <c r="AS28" s="8" t="s">
        <v>161</v>
      </c>
      <c r="AT28" s="8" t="s">
        <v>161</v>
      </c>
      <c r="AU28" s="8" t="s">
        <v>161</v>
      </c>
      <c r="AV28" s="8" t="s">
        <v>161</v>
      </c>
      <c r="AX28" s="8" t="s">
        <v>160</v>
      </c>
      <c r="AY28" s="8" t="s">
        <v>175</v>
      </c>
      <c r="AZ28" s="8" t="s">
        <v>160</v>
      </c>
      <c r="BA28" s="8" t="s">
        <v>249</v>
      </c>
      <c r="BB28" s="8" t="s">
        <v>174</v>
      </c>
      <c r="BC28" s="8" t="s">
        <v>241</v>
      </c>
      <c r="BD28" s="8" t="s">
        <v>174</v>
      </c>
      <c r="BK28" s="8" t="s">
        <v>161</v>
      </c>
      <c r="BM28" s="8" t="s">
        <v>161</v>
      </c>
      <c r="BO28" s="8" t="s">
        <v>199</v>
      </c>
      <c r="BQ28" s="8" t="s">
        <v>189</v>
      </c>
      <c r="BR28" s="8" t="s">
        <v>241</v>
      </c>
      <c r="BS28" s="8" t="s">
        <v>190</v>
      </c>
      <c r="BT28" s="8" t="s">
        <v>161</v>
      </c>
      <c r="BV28" s="8" t="s">
        <v>191</v>
      </c>
      <c r="CJ28" s="8" t="s">
        <v>161</v>
      </c>
      <c r="CK28" s="8" t="s">
        <v>161</v>
      </c>
      <c r="CM28" s="8" t="s">
        <v>161</v>
      </c>
      <c r="CO28" s="8" t="s">
        <v>161</v>
      </c>
      <c r="CQ28" s="8" t="s">
        <v>161</v>
      </c>
      <c r="CR28" s="8" t="s">
        <v>191</v>
      </c>
      <c r="CS28" s="8">
        <v>50</v>
      </c>
      <c r="CT28" s="8" t="s">
        <v>206</v>
      </c>
      <c r="CU28" s="8" t="s">
        <v>160</v>
      </c>
      <c r="CV28" s="8" t="s">
        <v>205</v>
      </c>
      <c r="CW28" s="8">
        <v>31</v>
      </c>
      <c r="CX28" s="8" t="s">
        <v>206</v>
      </c>
      <c r="CY28" s="8" t="s">
        <v>161</v>
      </c>
      <c r="DC28" s="8" t="s">
        <v>160</v>
      </c>
      <c r="DD28" s="8" t="s">
        <v>191</v>
      </c>
      <c r="DE28" s="8" t="s">
        <v>161</v>
      </c>
    </row>
    <row r="29" spans="1:109" s="8" customFormat="1">
      <c r="A29" s="30"/>
      <c r="B29" s="11" t="str">
        <f>LEFT(C29,FIND("-",C29)-1)</f>
        <v>02Asc</v>
      </c>
      <c r="C29" s="8" t="s">
        <v>33</v>
      </c>
      <c r="D29" s="20">
        <v>45370</v>
      </c>
      <c r="E29" s="8" t="s">
        <v>250</v>
      </c>
      <c r="F29" s="9">
        <v>1.97316159162565</v>
      </c>
      <c r="G29" s="8">
        <v>58</v>
      </c>
      <c r="H29" s="8" t="s">
        <v>173</v>
      </c>
      <c r="I29" s="8" t="s">
        <v>160</v>
      </c>
      <c r="J29" s="8" t="s">
        <v>160</v>
      </c>
      <c r="P29" s="8" t="s">
        <v>161</v>
      </c>
      <c r="Q29" s="8">
        <v>162.6</v>
      </c>
      <c r="R29" s="8">
        <v>86.2</v>
      </c>
      <c r="S29" s="9">
        <v>32.603639999999999</v>
      </c>
      <c r="T29" s="8" t="s">
        <v>161</v>
      </c>
      <c r="U29" s="8" t="s">
        <v>161</v>
      </c>
      <c r="W29" s="8" t="s">
        <v>161</v>
      </c>
      <c r="X29" s="8" t="s">
        <v>160</v>
      </c>
      <c r="Y29" s="8" t="s">
        <v>161</v>
      </c>
      <c r="Z29" s="8" t="s">
        <v>170</v>
      </c>
      <c r="AA29" s="8" t="s">
        <v>161</v>
      </c>
      <c r="AB29" s="8" t="s">
        <v>161</v>
      </c>
      <c r="AC29" s="8" t="s">
        <v>161</v>
      </c>
      <c r="AD29" s="8" t="s">
        <v>161</v>
      </c>
      <c r="AE29" s="8" t="s">
        <v>161</v>
      </c>
      <c r="AF29" s="8" t="s">
        <v>161</v>
      </c>
      <c r="AG29" s="8" t="s">
        <v>161</v>
      </c>
      <c r="AH29" s="8" t="s">
        <v>161</v>
      </c>
      <c r="AI29" s="8" t="s">
        <v>161</v>
      </c>
      <c r="AM29" s="8" t="s">
        <v>161</v>
      </c>
      <c r="AN29" s="8" t="s">
        <v>161</v>
      </c>
      <c r="AO29" s="8" t="s">
        <v>176</v>
      </c>
      <c r="AP29" s="8" t="s">
        <v>161</v>
      </c>
      <c r="AQ29" s="8" t="s">
        <v>161</v>
      </c>
      <c r="AR29" s="8" t="s">
        <v>161</v>
      </c>
      <c r="AS29" s="8" t="s">
        <v>161</v>
      </c>
      <c r="AT29" s="8" t="s">
        <v>161</v>
      </c>
      <c r="AU29" s="8" t="s">
        <v>161</v>
      </c>
      <c r="AV29" s="8" t="s">
        <v>161</v>
      </c>
      <c r="AX29" s="8" t="s">
        <v>160</v>
      </c>
      <c r="AY29" s="8" t="s">
        <v>197</v>
      </c>
      <c r="AZ29" s="8" t="s">
        <v>160</v>
      </c>
      <c r="BA29" s="8" t="s">
        <v>240</v>
      </c>
      <c r="BB29" s="8" t="s">
        <v>174</v>
      </c>
      <c r="BC29" s="8" t="s">
        <v>241</v>
      </c>
      <c r="BD29" s="8" t="s">
        <v>161</v>
      </c>
      <c r="BK29" s="8" t="s">
        <v>161</v>
      </c>
      <c r="BM29" s="8" t="s">
        <v>161</v>
      </c>
      <c r="BO29" s="8" t="s">
        <v>188</v>
      </c>
      <c r="BQ29" s="8" t="s">
        <v>189</v>
      </c>
      <c r="BR29" s="8" t="s">
        <v>241</v>
      </c>
      <c r="BS29" s="8" t="s">
        <v>174</v>
      </c>
      <c r="BT29" s="8" t="s">
        <v>161</v>
      </c>
      <c r="BV29" s="8" t="s">
        <v>191</v>
      </c>
      <c r="CJ29" s="8" t="s">
        <v>174</v>
      </c>
      <c r="CK29" s="8" t="s">
        <v>174</v>
      </c>
      <c r="CM29" s="8" t="s">
        <v>174</v>
      </c>
      <c r="CO29" s="8" t="s">
        <v>161</v>
      </c>
      <c r="CQ29" s="8" t="s">
        <v>161</v>
      </c>
      <c r="CR29" s="8" t="s">
        <v>191</v>
      </c>
      <c r="CS29" s="8">
        <v>36</v>
      </c>
      <c r="CT29" s="8" t="s">
        <v>251</v>
      </c>
      <c r="CU29" s="8" t="s">
        <v>161</v>
      </c>
      <c r="CY29" s="8" t="s">
        <v>161</v>
      </c>
      <c r="DC29" s="8" t="s">
        <v>160</v>
      </c>
      <c r="DD29" s="8" t="s">
        <v>191</v>
      </c>
      <c r="DE29" s="8" t="s">
        <v>161</v>
      </c>
    </row>
    <row r="30" spans="1:109">
      <c r="A30" s="30"/>
      <c r="B30" s="11" t="str">
        <f>LEFT(C30,FIND("-",C30)-1)</f>
        <v>02Asc</v>
      </c>
      <c r="C30" t="s">
        <v>36</v>
      </c>
      <c r="D30" s="22">
        <v>45915</v>
      </c>
      <c r="H30" s="8" t="s">
        <v>159</v>
      </c>
    </row>
  </sheetData>
  <mergeCells count="3">
    <mergeCell ref="A2:A12"/>
    <mergeCell ref="A14:A24"/>
    <mergeCell ref="A26:A30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C496B-06FC-44DE-9DBA-FD93C90F6339}">
  <dimension ref="A1:D30"/>
  <sheetViews>
    <sheetView workbookViewId="0"/>
  </sheetViews>
  <sheetFormatPr defaultRowHeight="15"/>
  <cols>
    <col min="1" max="1" width="10.7109375" customWidth="1"/>
    <col min="2" max="2" width="10.5703125" style="16" bestFit="1" customWidth="1"/>
    <col min="3" max="3" width="18.42578125" bestFit="1" customWidth="1"/>
    <col min="4" max="4" width="17.7109375" bestFit="1" customWidth="1"/>
  </cols>
  <sheetData>
    <row r="1" spans="1:4">
      <c r="A1" s="4"/>
      <c r="B1" s="15" t="s">
        <v>46</v>
      </c>
      <c r="C1" s="4" t="s">
        <v>47</v>
      </c>
      <c r="D1" t="s">
        <v>252</v>
      </c>
    </row>
    <row r="2" spans="1:4">
      <c r="A2" s="29" t="s">
        <v>156</v>
      </c>
      <c r="B2" s="16" t="str">
        <f>LEFT(C2,FIND("-",C2)-1)</f>
        <v>01Asc</v>
      </c>
      <c r="C2" t="s">
        <v>157</v>
      </c>
    </row>
    <row r="3" spans="1:4">
      <c r="A3" s="29"/>
      <c r="B3" s="11" t="str">
        <f>LEFT(C3,FIND("-",C3)-1)</f>
        <v>01Asc</v>
      </c>
      <c r="C3" s="8" t="s">
        <v>22</v>
      </c>
    </row>
    <row r="4" spans="1:4">
      <c r="A4" s="29"/>
      <c r="B4" s="11" t="str">
        <f>LEFT(C4,FIND("-",C4)-1)</f>
        <v>01Asc</v>
      </c>
      <c r="C4" s="8" t="s">
        <v>25</v>
      </c>
    </row>
    <row r="5" spans="1:4">
      <c r="A5" s="29"/>
      <c r="B5" s="16" t="s">
        <v>177</v>
      </c>
      <c r="C5" t="s">
        <v>28</v>
      </c>
    </row>
    <row r="6" spans="1:4">
      <c r="A6" s="29"/>
      <c r="B6" s="16" t="s">
        <v>177</v>
      </c>
      <c r="C6" t="s">
        <v>31</v>
      </c>
    </row>
    <row r="7" spans="1:4">
      <c r="A7" s="29"/>
      <c r="B7" s="16" t="s">
        <v>177</v>
      </c>
      <c r="C7" t="s">
        <v>34</v>
      </c>
    </row>
    <row r="8" spans="1:4">
      <c r="A8" s="29"/>
      <c r="B8" s="16" t="s">
        <v>177</v>
      </c>
      <c r="C8" t="s">
        <v>37</v>
      </c>
    </row>
    <row r="9" spans="1:4">
      <c r="A9" s="29"/>
      <c r="B9" s="16" t="s">
        <v>177</v>
      </c>
      <c r="C9" t="s">
        <v>39</v>
      </c>
    </row>
    <row r="10" spans="1:4">
      <c r="A10" s="29"/>
      <c r="B10" s="16" t="s">
        <v>177</v>
      </c>
      <c r="C10" t="s">
        <v>41</v>
      </c>
    </row>
    <row r="11" spans="1:4">
      <c r="A11" s="29"/>
      <c r="B11" s="11" t="str">
        <f>LEFT(C11,FIND("-",C11)-1)</f>
        <v>01Asc</v>
      </c>
      <c r="C11" t="s">
        <v>43</v>
      </c>
    </row>
    <row r="12" spans="1:4">
      <c r="A12" s="29"/>
      <c r="B12" s="11" t="str">
        <f>LEFT(C12,FIND("-",C12)-1)</f>
        <v>01Asc</v>
      </c>
      <c r="C12" t="s">
        <v>45</v>
      </c>
    </row>
    <row r="13" spans="1:4">
      <c r="A13" s="24"/>
      <c r="B13" s="25"/>
      <c r="C13" s="24"/>
    </row>
    <row r="14" spans="1:4">
      <c r="A14" s="29" t="s">
        <v>183</v>
      </c>
      <c r="B14" s="11" t="str">
        <f>LEFT(C14,FIND("-",C14)-1)</f>
        <v>03Asc</v>
      </c>
      <c r="C14" s="8" t="s">
        <v>184</v>
      </c>
    </row>
    <row r="15" spans="1:4">
      <c r="A15" s="29"/>
      <c r="B15" s="11" t="str">
        <f>LEFT(C15,FIND("-",C15)-1)</f>
        <v>03Asc</v>
      </c>
      <c r="C15" s="12" t="s">
        <v>194</v>
      </c>
    </row>
    <row r="16" spans="1:4">
      <c r="A16" s="29"/>
      <c r="B16" s="11" t="str">
        <f>LEFT(C16,FIND("-",C16)-1)</f>
        <v>03Rt</v>
      </c>
      <c r="C16" s="8" t="s">
        <v>201</v>
      </c>
    </row>
    <row r="17" spans="1:3">
      <c r="A17" s="29"/>
      <c r="B17" s="11" t="str">
        <f>LEFT(C17,FIND("-",C17)-1)</f>
        <v>03Asc</v>
      </c>
      <c r="C17" s="8" t="s">
        <v>208</v>
      </c>
    </row>
    <row r="18" spans="1:3">
      <c r="A18" s="29"/>
      <c r="B18" s="11" t="str">
        <f>LEFT(C18,FIND("-",C18)-1)</f>
        <v>03Asc</v>
      </c>
      <c r="C18" s="8" t="s">
        <v>215</v>
      </c>
    </row>
    <row r="19" spans="1:3">
      <c r="A19" s="29"/>
      <c r="B19" s="11" t="str">
        <f>LEFT(C19,FIND("-",C19)-1)</f>
        <v>03Asc</v>
      </c>
      <c r="C19" s="11" t="s">
        <v>220</v>
      </c>
    </row>
    <row r="20" spans="1:3">
      <c r="A20" s="29"/>
      <c r="B20" s="11" t="str">
        <f>LEFT(C20,FIND("-",C20)-1)</f>
        <v>03Asc</v>
      </c>
      <c r="C20" s="8" t="s">
        <v>224</v>
      </c>
    </row>
    <row r="21" spans="1:3">
      <c r="A21" s="29"/>
      <c r="B21" s="11" t="str">
        <f>LEFT(C21,FIND("-",C21)-1)</f>
        <v>03Asc</v>
      </c>
      <c r="C21" s="8" t="s">
        <v>230</v>
      </c>
    </row>
    <row r="22" spans="1:3">
      <c r="A22" s="29"/>
      <c r="B22" s="11" t="str">
        <f>LEFT(C22,FIND("-",C22)-1)</f>
        <v>03Asc</v>
      </c>
      <c r="C22" s="8" t="s">
        <v>233</v>
      </c>
    </row>
    <row r="23" spans="1:3">
      <c r="A23" s="29"/>
      <c r="B23" s="11" t="str">
        <f>LEFT(C23,FIND("-",C23)-1)</f>
        <v>03Asc</v>
      </c>
      <c r="C23" s="8" t="s">
        <v>235</v>
      </c>
    </row>
    <row r="24" spans="1:3">
      <c r="A24" s="29"/>
      <c r="B24" s="17" t="s">
        <v>236</v>
      </c>
      <c r="C24" s="10" t="s">
        <v>30</v>
      </c>
    </row>
    <row r="25" spans="1:3">
      <c r="A25" s="24"/>
      <c r="B25" s="27"/>
      <c r="C25" s="28"/>
    </row>
    <row r="26" spans="1:3">
      <c r="A26" s="30" t="s">
        <v>238</v>
      </c>
      <c r="B26" s="11" t="str">
        <f>LEFT(C26,FIND("-",C26)-1)</f>
        <v>02Asc</v>
      </c>
      <c r="C26" s="8" t="s">
        <v>21</v>
      </c>
    </row>
    <row r="27" spans="1:3">
      <c r="A27" s="30"/>
      <c r="B27" s="11" t="str">
        <f>LEFT(C27,FIND("-",C27)-1)</f>
        <v>03Asc</v>
      </c>
      <c r="C27" s="8" t="s">
        <v>242</v>
      </c>
    </row>
    <row r="28" spans="1:3">
      <c r="A28" s="30"/>
      <c r="B28" s="11" t="str">
        <f>LEFT(C28,FIND("-",C28)-1)</f>
        <v>02Asc</v>
      </c>
      <c r="C28" s="8" t="s">
        <v>27</v>
      </c>
    </row>
    <row r="29" spans="1:3">
      <c r="A29" s="30"/>
      <c r="B29" s="11" t="str">
        <f>LEFT(C29,FIND("-",C29)-1)</f>
        <v>02Asc</v>
      </c>
      <c r="C29" s="8" t="s">
        <v>33</v>
      </c>
    </row>
    <row r="30" spans="1:3">
      <c r="A30" s="30"/>
      <c r="B30" s="11" t="str">
        <f>LEFT(C30,FIND("-",C30)-1)</f>
        <v>02Asc</v>
      </c>
      <c r="C30" t="s">
        <v>36</v>
      </c>
    </row>
  </sheetData>
  <mergeCells count="3">
    <mergeCell ref="A2:A12"/>
    <mergeCell ref="A14:A24"/>
    <mergeCell ref="A26:A30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AE9CE-FD57-4EF2-AD9D-3EC8EDA5B232}">
  <dimension ref="A1:E30"/>
  <sheetViews>
    <sheetView workbookViewId="0"/>
  </sheetViews>
  <sheetFormatPr defaultRowHeight="15"/>
  <cols>
    <col min="1" max="1" width="10.7109375" customWidth="1"/>
    <col min="2" max="2" width="10.5703125" style="16" bestFit="1" customWidth="1"/>
    <col min="3" max="3" width="18.42578125" bestFit="1" customWidth="1"/>
  </cols>
  <sheetData>
    <row r="1" spans="1:5">
      <c r="A1" s="4"/>
      <c r="B1" s="15" t="s">
        <v>46</v>
      </c>
      <c r="C1" s="4" t="s">
        <v>47</v>
      </c>
      <c r="D1" t="s">
        <v>253</v>
      </c>
      <c r="E1" t="s">
        <v>254</v>
      </c>
    </row>
    <row r="2" spans="1:5">
      <c r="A2" s="29" t="s">
        <v>156</v>
      </c>
      <c r="B2" s="16" t="str">
        <f>LEFT(C2,FIND("-",C2)-1)</f>
        <v>01Asc</v>
      </c>
      <c r="C2" t="s">
        <v>157</v>
      </c>
      <c r="D2" t="s">
        <v>255</v>
      </c>
    </row>
    <row r="3" spans="1:5">
      <c r="A3" s="29"/>
      <c r="B3" s="11" t="str">
        <f>LEFT(C3,FIND("-",C3)-1)</f>
        <v>01Asc</v>
      </c>
      <c r="C3" s="8" t="s">
        <v>22</v>
      </c>
    </row>
    <row r="4" spans="1:5">
      <c r="A4" s="29"/>
      <c r="B4" s="11" t="str">
        <f>LEFT(C4,FIND("-",C4)-1)</f>
        <v>01Asc</v>
      </c>
      <c r="C4" s="8" t="s">
        <v>25</v>
      </c>
    </row>
    <row r="5" spans="1:5">
      <c r="A5" s="29"/>
      <c r="B5" s="16" t="s">
        <v>177</v>
      </c>
      <c r="C5" t="s">
        <v>28</v>
      </c>
    </row>
    <row r="6" spans="1:5">
      <c r="A6" s="29"/>
      <c r="B6" s="16" t="s">
        <v>177</v>
      </c>
      <c r="C6" t="s">
        <v>31</v>
      </c>
    </row>
    <row r="7" spans="1:5">
      <c r="A7" s="29"/>
      <c r="B7" s="16" t="s">
        <v>177</v>
      </c>
      <c r="C7" t="s">
        <v>34</v>
      </c>
    </row>
    <row r="8" spans="1:5">
      <c r="A8" s="29"/>
      <c r="B8" s="16" t="s">
        <v>177</v>
      </c>
      <c r="C8" t="s">
        <v>37</v>
      </c>
    </row>
    <row r="9" spans="1:5">
      <c r="A9" s="29"/>
      <c r="B9" s="16" t="s">
        <v>177</v>
      </c>
      <c r="C9" t="s">
        <v>39</v>
      </c>
    </row>
    <row r="10" spans="1:5">
      <c r="A10" s="29"/>
      <c r="B10" s="16" t="s">
        <v>177</v>
      </c>
      <c r="C10" t="s">
        <v>41</v>
      </c>
    </row>
    <row r="11" spans="1:5">
      <c r="A11" s="29"/>
      <c r="B11" s="11" t="str">
        <f>LEFT(C11,FIND("-",C11)-1)</f>
        <v>01Asc</v>
      </c>
      <c r="C11" t="s">
        <v>43</v>
      </c>
    </row>
    <row r="12" spans="1:5">
      <c r="A12" s="29"/>
      <c r="B12" s="11" t="str">
        <f>LEFT(C12,FIND("-",C12)-1)</f>
        <v>01Asc</v>
      </c>
      <c r="C12" t="s">
        <v>45</v>
      </c>
    </row>
    <row r="13" spans="1:5">
      <c r="A13" s="24"/>
      <c r="B13" s="25"/>
      <c r="C13" s="24"/>
    </row>
    <row r="14" spans="1:5">
      <c r="A14" s="29" t="s">
        <v>183</v>
      </c>
      <c r="B14" s="11" t="str">
        <f>LEFT(C14,FIND("-",C14)-1)</f>
        <v>03Asc</v>
      </c>
      <c r="C14" s="8" t="s">
        <v>184</v>
      </c>
    </row>
    <row r="15" spans="1:5">
      <c r="A15" s="29"/>
      <c r="B15" s="11" t="str">
        <f>LEFT(C15,FIND("-",C15)-1)</f>
        <v>03Asc</v>
      </c>
      <c r="C15" s="12" t="s">
        <v>194</v>
      </c>
    </row>
    <row r="16" spans="1:5">
      <c r="A16" s="29"/>
      <c r="B16" s="11" t="str">
        <f>LEFT(C16,FIND("-",C16)-1)</f>
        <v>03Rt</v>
      </c>
      <c r="C16" s="8" t="s">
        <v>201</v>
      </c>
    </row>
    <row r="17" spans="1:3">
      <c r="A17" s="29"/>
      <c r="B17" s="11" t="str">
        <f>LEFT(C17,FIND("-",C17)-1)</f>
        <v>03Asc</v>
      </c>
      <c r="C17" s="8" t="s">
        <v>208</v>
      </c>
    </row>
    <row r="18" spans="1:3">
      <c r="A18" s="29"/>
      <c r="B18" s="11" t="str">
        <f>LEFT(C18,FIND("-",C18)-1)</f>
        <v>03Asc</v>
      </c>
      <c r="C18" s="8" t="s">
        <v>215</v>
      </c>
    </row>
    <row r="19" spans="1:3">
      <c r="A19" s="29"/>
      <c r="B19" s="11" t="str">
        <f>LEFT(C19,FIND("-",C19)-1)</f>
        <v>03Asc</v>
      </c>
      <c r="C19" s="11" t="s">
        <v>220</v>
      </c>
    </row>
    <row r="20" spans="1:3">
      <c r="A20" s="29"/>
      <c r="B20" s="11" t="str">
        <f>LEFT(C20,FIND("-",C20)-1)</f>
        <v>03Asc</v>
      </c>
      <c r="C20" s="8" t="s">
        <v>224</v>
      </c>
    </row>
    <row r="21" spans="1:3">
      <c r="A21" s="29"/>
      <c r="B21" s="11" t="str">
        <f>LEFT(C21,FIND("-",C21)-1)</f>
        <v>03Asc</v>
      </c>
      <c r="C21" s="8" t="s">
        <v>230</v>
      </c>
    </row>
    <row r="22" spans="1:3">
      <c r="A22" s="29"/>
      <c r="B22" s="11" t="str">
        <f>LEFT(C22,FIND("-",C22)-1)</f>
        <v>03Asc</v>
      </c>
      <c r="C22" s="8" t="s">
        <v>233</v>
      </c>
    </row>
    <row r="23" spans="1:3">
      <c r="A23" s="29"/>
      <c r="B23" s="11" t="str">
        <f>LEFT(C23,FIND("-",C23)-1)</f>
        <v>03Asc</v>
      </c>
      <c r="C23" s="8" t="s">
        <v>235</v>
      </c>
    </row>
    <row r="24" spans="1:3">
      <c r="A24" s="29"/>
      <c r="B24" s="17" t="s">
        <v>236</v>
      </c>
      <c r="C24" s="10" t="s">
        <v>30</v>
      </c>
    </row>
    <row r="25" spans="1:3">
      <c r="A25" s="24"/>
      <c r="B25" s="27"/>
      <c r="C25" s="28"/>
    </row>
    <row r="26" spans="1:3">
      <c r="A26" s="30" t="s">
        <v>238</v>
      </c>
      <c r="B26" s="11" t="str">
        <f>LEFT(C26,FIND("-",C26)-1)</f>
        <v>02Asc</v>
      </c>
      <c r="C26" s="8" t="s">
        <v>21</v>
      </c>
    </row>
    <row r="27" spans="1:3">
      <c r="A27" s="30"/>
      <c r="B27" s="11" t="str">
        <f>LEFT(C27,FIND("-",C27)-1)</f>
        <v>03Asc</v>
      </c>
      <c r="C27" s="8" t="s">
        <v>242</v>
      </c>
    </row>
    <row r="28" spans="1:3">
      <c r="A28" s="30"/>
      <c r="B28" s="11" t="str">
        <f>LEFT(C28,FIND("-",C28)-1)</f>
        <v>02Asc</v>
      </c>
      <c r="C28" s="8" t="s">
        <v>27</v>
      </c>
    </row>
    <row r="29" spans="1:3">
      <c r="A29" s="30"/>
      <c r="B29" s="11" t="str">
        <f>LEFT(C29,FIND("-",C29)-1)</f>
        <v>02Asc</v>
      </c>
      <c r="C29" s="8" t="s">
        <v>33</v>
      </c>
    </row>
    <row r="30" spans="1:3">
      <c r="A30" s="30"/>
      <c r="B30" s="11" t="str">
        <f>LEFT(C30,FIND("-",C30)-1)</f>
        <v>02Asc</v>
      </c>
      <c r="C30" t="s">
        <v>36</v>
      </c>
    </row>
  </sheetData>
  <mergeCells count="3">
    <mergeCell ref="A2:A12"/>
    <mergeCell ref="A14:A24"/>
    <mergeCell ref="A26:A3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Billaud, Marie,PhD</dc:creator>
  <cp:keywords/>
  <dc:description/>
  <cp:lastModifiedBy>Grebici, Luisa</cp:lastModifiedBy>
  <cp:revision/>
  <dcterms:created xsi:type="dcterms:W3CDTF">2025-09-05T21:18:09Z</dcterms:created>
  <dcterms:modified xsi:type="dcterms:W3CDTF">2026-03-16T15:39:07Z</dcterms:modified>
  <cp:category/>
  <cp:contentStatus/>
</cp:coreProperties>
</file>